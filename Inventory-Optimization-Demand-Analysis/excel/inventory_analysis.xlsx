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Action_Register" sheetId="3" state="visible" r:id="rId5"/>
    <sheet name="SKU_Scorecard" sheetId="4" state="visible" r:id="rId6"/>
    <sheet name="Monthly_Summary" sheetId="5" state="visible" r:id="rId7"/>
    <sheet name="Store_Summary" sheetId="6" state="visible" r:id="rId8"/>
    <sheet name="KPI_Dashboard" sheetId="7" state="visible" r:id="rId9"/>
    <sheet name="Data_Dictionary" sheetId="8" state="visible" r:id="rId10"/>
    <sheet name="Raw_Sampl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<sst xmlns="http://schemas.openxmlformats.org/spreadsheetml/2006/main" count="4463" uniqueCount="413">
  <si>
    <t xml:space="preserve">Inventory Optimization &amp; Demand Analysis</t>
  </si>
  <si>
    <t xml:space="preserve">Excel reporting layer | Source: retail_store_inventory.csv | 73,100 rows | 2022-01-01 to 2024-01-01</t>
  </si>
  <si>
    <t xml:space="preserve">SHEETS</t>
  </si>
  <si>
    <t xml:space="preserve">Parameters</t>
  </si>
  <si>
    <t xml:space="preserve">The only sheet you edit. Yellow cells with blue text are inputs. Changing a cover threshold re-classifies the Action Register and the scorecard flags.</t>
  </si>
  <si>
    <t xml:space="preserve">Action_Register</t>
  </si>
  <si>
    <t xml:space="preserve">The decision list: all 100 stock positions as at 2024-01-01, each with a live status and recommended action. This is the sheet a manager uses.</t>
  </si>
  <si>
    <t xml:space="preserve">SKU_Scorecard</t>
  </si>
  <si>
    <t xml:space="preserve">One row per store-product. Reports how OFTEN each position falls critical or excess across 731 days, with a noise-band test on whether the gap is real.</t>
  </si>
  <si>
    <t xml:space="preserve">Monthly_Summary</t>
  </si>
  <si>
    <t xml:space="preserve">25 monthly periods. Complete Month = 0 marks a partial period.</t>
  </si>
  <si>
    <t xml:space="preserve">Store_Summary</t>
  </si>
  <si>
    <t xml:space="preserve">Store roll-up via SUMIF / AVERAGEIF / COUNTIFS over the scorecard.</t>
  </si>
  <si>
    <t xml:space="preserve">KPI_Dashboard</t>
  </si>
  <si>
    <t xml:space="preserve">Headline KPIs, all formula-driven.</t>
  </si>
  <si>
    <t xml:space="preserve">Data_Dictionary</t>
  </si>
  <si>
    <t xml:space="preserve">Every source and derived field with its definition.</t>
  </si>
  <si>
    <t xml:space="preserve">Raw_Sample</t>
  </si>
  <si>
    <t xml:space="preserve">First 500 source rows. Full file at data/raw/.</t>
  </si>
  <si>
    <t xml:space="preserve">COLOUR LEGEND</t>
  </si>
  <si>
    <t xml:space="preserve">Blue text on yellow fill</t>
  </si>
  <si>
    <t xml:space="preserve">Input cell - safe to edit</t>
  </si>
  <si>
    <t xml:space="preserve">Black text</t>
  </si>
  <si>
    <t xml:space="preserve">Formula - do not overwrite</t>
  </si>
  <si>
    <t xml:space="preserve">Grey fill</t>
  </si>
  <si>
    <t xml:space="preserve">Aggregated fact imported from the Python build step</t>
  </si>
  <si>
    <t xml:space="preserve">WHY CLASSIFICATION IS PER DAY, NOT PER PRODUCT</t>
  </si>
  <si>
    <t xml:space="preserve">The exposure is episodic</t>
  </si>
  <si>
    <t xml:space="preserve">Averaged over 731 days every store-SKU sits near 2.0 days of cover and looks healthy. The risk appears on individual days, so the unit of decision is the position-day, not the product.</t>
  </si>
  <si>
    <t xml:space="preserve">Noise band</t>
  </si>
  <si>
    <t xml:space="preserve">Each position has 731 daily observations, giving a binomial standard error of about 1.45pp on an exception rate. Gaps under roughly 4pp between positions are sampling noise, and the scorecard says so rather than ranking them anyway.</t>
  </si>
  <si>
    <t xml:space="preserve">KEY ASSUMPTIONS</t>
  </si>
  <si>
    <t xml:space="preserve">No cost column exists</t>
  </si>
  <si>
    <t xml:space="preserve">Inventory is valued at RETAIL price. Margin and cost-based turnover cannot be computed from this dataset.</t>
  </si>
  <si>
    <t xml:space="preserve">No reorder level column</t>
  </si>
  <si>
    <t xml:space="preserve">The reorder point is derived as Average Daily Demand x the Reorder Cover parameter. It is a stated policy, not a source field.</t>
  </si>
  <si>
    <t xml:space="preserve">No lead time or supplier</t>
  </si>
  <si>
    <t xml:space="preserve">Those KPIs are excluded rather than invented.</t>
  </si>
  <si>
    <t xml:space="preserve">Category and Region</t>
  </si>
  <si>
    <t xml:space="preserve">Vary row-to-row within the same store-product, so they are transaction labels, not product or store attributes. No decision rests on them.</t>
  </si>
  <si>
    <t xml:space="preserve">Policy Parameters</t>
  </si>
  <si>
    <t xml:space="preserve">Edit the yellow cells. Every classification in this workbook reads from here.</t>
  </si>
  <si>
    <t xml:space="preserve">Parameter</t>
  </si>
  <si>
    <t xml:space="preserve">Value</t>
  </si>
  <si>
    <t xml:space="preserve">Basis</t>
  </si>
  <si>
    <t xml:space="preserve">Critical cover threshold (days)</t>
  </si>
  <si>
    <t xml:space="preserve">Below this, stock covers under one day of demand. Action = REPLENISH NOW.</t>
  </si>
  <si>
    <t xml:space="preserve">Reorder cover threshold (days)</t>
  </si>
  <si>
    <t xml:space="preserve">Reorder point in days of demand. Set near the 25th percentile of observed cover (1.19 days).</t>
  </si>
  <si>
    <t xml:space="preserve">Target cover (days)</t>
  </si>
  <si>
    <t xml:space="preserve">Stock above this is excess. Set near the 75th percentile of observed cover (2.84 days).</t>
  </si>
  <si>
    <t xml:space="preserve">Analysis period (days)</t>
  </si>
  <si>
    <t xml:space="preserve">Days in the source panel: 2022-01-01 to 2024-01-01 inclusive.</t>
  </si>
  <si>
    <t xml:space="preserve">Days per year</t>
  </si>
  <si>
    <t xml:space="preserve">Used to annualise inventory turnover.</t>
  </si>
  <si>
    <t xml:space="preserve">System critical rate (%)</t>
  </si>
  <si>
    <t xml:space="preserve">Share of all 73,100 position-days classified Critical. Centre of the noise band.</t>
  </si>
  <si>
    <t xml:space="preserve">System excess rate (%)</t>
  </si>
  <si>
    <t xml:space="preserve">Share of all 73,100 position-days classified Excess. Centre of the noise band.</t>
  </si>
  <si>
    <t xml:space="preserve">Noise band width (std errors)</t>
  </si>
  <si>
    <t xml:space="preserve">Largest deviation expected from chance across 100 positions. Beyond this, a gap is real.</t>
  </si>
  <si>
    <t xml:space="preserve">Derived noise band (calculated)</t>
  </si>
  <si>
    <t xml:space="preserve">Critical std error per position (pp)</t>
  </si>
  <si>
    <t xml:space="preserve">Critical rate lower bound (%)</t>
  </si>
  <si>
    <t xml:space="preserve">Critical rate upper bound (%)</t>
  </si>
  <si>
    <t xml:space="preserve">Excess std error per position (pp)</t>
  </si>
  <si>
    <t xml:space="preserve">Excess rate lower bound (%)</t>
  </si>
  <si>
    <t xml:space="preserve">Excess rate upper bound (%)</t>
  </si>
  <si>
    <t xml:space="preserve">Action Register - Stock Position as at 2024-01-01</t>
  </si>
  <si>
    <t xml:space="preserve">All 100 store-product positions on the final day of the panel. Status and action are live formulas: change a threshold on Parameters and this list re-prioritises.</t>
  </si>
  <si>
    <t xml:space="preserve">SKU Key</t>
  </si>
  <si>
    <t xml:space="preserve">Store ID</t>
  </si>
  <si>
    <t xml:space="preserve">Product ID</t>
  </si>
  <si>
    <t xml:space="preserve">Inventory (units)</t>
  </si>
  <si>
    <t xml:space="preserve">Avg Daily Demand</t>
  </si>
  <si>
    <t xml:space="preserve">Days of Cover</t>
  </si>
  <si>
    <t xml:space="preserve">Reorder Point (units)</t>
  </si>
  <si>
    <t xml:space="preserve">Order Qty to Target (units)</t>
  </si>
  <si>
    <t xml:space="preserve">Units Actually Ordered</t>
  </si>
  <si>
    <t xml:space="preserve">Order Gap (units)</t>
  </si>
  <si>
    <t xml:space="preserve">Inventory Value ($)</t>
  </si>
  <si>
    <t xml:space="preserve">Stock Status</t>
  </si>
  <si>
    <t xml:space="preserve">Recommended Action</t>
  </si>
  <si>
    <t xml:space="preserve">Unit Price ($)</t>
  </si>
  <si>
    <t xml:space="preserve">S001-P0001</t>
  </si>
  <si>
    <t xml:space="preserve">S001</t>
  </si>
  <si>
    <t xml:space="preserve">P0001</t>
  </si>
  <si>
    <t xml:space="preserve">S001-P0002</t>
  </si>
  <si>
    <t xml:space="preserve">P0002</t>
  </si>
  <si>
    <t xml:space="preserve">S001-P0003</t>
  </si>
  <si>
    <t xml:space="preserve">P0003</t>
  </si>
  <si>
    <t xml:space="preserve">S001-P0004</t>
  </si>
  <si>
    <t xml:space="preserve">P0004</t>
  </si>
  <si>
    <t xml:space="preserve">S001-P0005</t>
  </si>
  <si>
    <t xml:space="preserve">P0005</t>
  </si>
  <si>
    <t xml:space="preserve">S001-P0006</t>
  </si>
  <si>
    <t xml:space="preserve">P0006</t>
  </si>
  <si>
    <t xml:space="preserve">S001-P0007</t>
  </si>
  <si>
    <t xml:space="preserve">P0007</t>
  </si>
  <si>
    <t xml:space="preserve">S001-P0008</t>
  </si>
  <si>
    <t xml:space="preserve">P0008</t>
  </si>
  <si>
    <t xml:space="preserve">S001-P0009</t>
  </si>
  <si>
    <t xml:space="preserve">P0009</t>
  </si>
  <si>
    <t xml:space="preserve">S001-P0010</t>
  </si>
  <si>
    <t xml:space="preserve">P0010</t>
  </si>
  <si>
    <t xml:space="preserve">S001-P0011</t>
  </si>
  <si>
    <t xml:space="preserve">P0011</t>
  </si>
  <si>
    <t xml:space="preserve">S001-P0012</t>
  </si>
  <si>
    <t xml:space="preserve">P0012</t>
  </si>
  <si>
    <t xml:space="preserve">S001-P0013</t>
  </si>
  <si>
    <t xml:space="preserve">P0013</t>
  </si>
  <si>
    <t xml:space="preserve">S001-P0014</t>
  </si>
  <si>
    <t xml:space="preserve">P0014</t>
  </si>
  <si>
    <t xml:space="preserve">S001-P0015</t>
  </si>
  <si>
    <t xml:space="preserve">P0015</t>
  </si>
  <si>
    <t xml:space="preserve">S001-P0016</t>
  </si>
  <si>
    <t xml:space="preserve">P0016</t>
  </si>
  <si>
    <t xml:space="preserve">S001-P0017</t>
  </si>
  <si>
    <t xml:space="preserve">P0017</t>
  </si>
  <si>
    <t xml:space="preserve">S001-P0018</t>
  </si>
  <si>
    <t xml:space="preserve">P0018</t>
  </si>
  <si>
    <t xml:space="preserve">S001-P0019</t>
  </si>
  <si>
    <t xml:space="preserve">P0019</t>
  </si>
  <si>
    <t xml:space="preserve">S001-P0020</t>
  </si>
  <si>
    <t xml:space="preserve">P0020</t>
  </si>
  <si>
    <t xml:space="preserve">S002-P0001</t>
  </si>
  <si>
    <t xml:space="preserve">S002</t>
  </si>
  <si>
    <t xml:space="preserve">S002-P0002</t>
  </si>
  <si>
    <t xml:space="preserve">S002-P0003</t>
  </si>
  <si>
    <t xml:space="preserve">S002-P0004</t>
  </si>
  <si>
    <t xml:space="preserve">S002-P0005</t>
  </si>
  <si>
    <t xml:space="preserve">S002-P0006</t>
  </si>
  <si>
    <t xml:space="preserve">S002-P0007</t>
  </si>
  <si>
    <t xml:space="preserve">S002-P0008</t>
  </si>
  <si>
    <t xml:space="preserve">S002-P0009</t>
  </si>
  <si>
    <t xml:space="preserve">S002-P0010</t>
  </si>
  <si>
    <t xml:space="preserve">S002-P0011</t>
  </si>
  <si>
    <t xml:space="preserve">S002-P0012</t>
  </si>
  <si>
    <t xml:space="preserve">S002-P0013</t>
  </si>
  <si>
    <t xml:space="preserve">S002-P0014</t>
  </si>
  <si>
    <t xml:space="preserve">S002-P0015</t>
  </si>
  <si>
    <t xml:space="preserve">S002-P0016</t>
  </si>
  <si>
    <t xml:space="preserve">S002-P0017</t>
  </si>
  <si>
    <t xml:space="preserve">S002-P0018</t>
  </si>
  <si>
    <t xml:space="preserve">S002-P0019</t>
  </si>
  <si>
    <t xml:space="preserve">S002-P0020</t>
  </si>
  <si>
    <t xml:space="preserve">S003-P0001</t>
  </si>
  <si>
    <t xml:space="preserve">S003</t>
  </si>
  <si>
    <t xml:space="preserve">S003-P0002</t>
  </si>
  <si>
    <t xml:space="preserve">S003-P0003</t>
  </si>
  <si>
    <t xml:space="preserve">S003-P0004</t>
  </si>
  <si>
    <t xml:space="preserve">S003-P0005</t>
  </si>
  <si>
    <t xml:space="preserve">S003-P0006</t>
  </si>
  <si>
    <t xml:space="preserve">S003-P0007</t>
  </si>
  <si>
    <t xml:space="preserve">S003-P0008</t>
  </si>
  <si>
    <t xml:space="preserve">S003-P0009</t>
  </si>
  <si>
    <t xml:space="preserve">S003-P0010</t>
  </si>
  <si>
    <t xml:space="preserve">S003-P0011</t>
  </si>
  <si>
    <t xml:space="preserve">S003-P0012</t>
  </si>
  <si>
    <t xml:space="preserve">S003-P0013</t>
  </si>
  <si>
    <t xml:space="preserve">S003-P0014</t>
  </si>
  <si>
    <t xml:space="preserve">S003-P0015</t>
  </si>
  <si>
    <t xml:space="preserve">S003-P0016</t>
  </si>
  <si>
    <t xml:space="preserve">S003-P0017</t>
  </si>
  <si>
    <t xml:space="preserve">S003-P0018</t>
  </si>
  <si>
    <t xml:space="preserve">S003-P0019</t>
  </si>
  <si>
    <t xml:space="preserve">S003-P0020</t>
  </si>
  <si>
    <t xml:space="preserve">S004-P0001</t>
  </si>
  <si>
    <t xml:space="preserve">S004</t>
  </si>
  <si>
    <t xml:space="preserve">S004-P0002</t>
  </si>
  <si>
    <t xml:space="preserve">S004-P0003</t>
  </si>
  <si>
    <t xml:space="preserve">S004-P0004</t>
  </si>
  <si>
    <t xml:space="preserve">S004-P0005</t>
  </si>
  <si>
    <t xml:space="preserve">S004-P0006</t>
  </si>
  <si>
    <t xml:space="preserve">S004-P0007</t>
  </si>
  <si>
    <t xml:space="preserve">S004-P0008</t>
  </si>
  <si>
    <t xml:space="preserve">S004-P0009</t>
  </si>
  <si>
    <t xml:space="preserve">S004-P0010</t>
  </si>
  <si>
    <t xml:space="preserve">S004-P0011</t>
  </si>
  <si>
    <t xml:space="preserve">S004-P0012</t>
  </si>
  <si>
    <t xml:space="preserve">S004-P0013</t>
  </si>
  <si>
    <t xml:space="preserve">S004-P0014</t>
  </si>
  <si>
    <t xml:space="preserve">S004-P0015</t>
  </si>
  <si>
    <t xml:space="preserve">S004-P0016</t>
  </si>
  <si>
    <t xml:space="preserve">S004-P0017</t>
  </si>
  <si>
    <t xml:space="preserve">S004-P0018</t>
  </si>
  <si>
    <t xml:space="preserve">S004-P0019</t>
  </si>
  <si>
    <t xml:space="preserve">S004-P0020</t>
  </si>
  <si>
    <t xml:space="preserve">S005-P0001</t>
  </si>
  <si>
    <t xml:space="preserve">S005</t>
  </si>
  <si>
    <t xml:space="preserve">S005-P0002</t>
  </si>
  <si>
    <t xml:space="preserve">S005-P0003</t>
  </si>
  <si>
    <t xml:space="preserve">S005-P0004</t>
  </si>
  <si>
    <t xml:space="preserve">S005-P0005</t>
  </si>
  <si>
    <t xml:space="preserve">S005-P0006</t>
  </si>
  <si>
    <t xml:space="preserve">S005-P0007</t>
  </si>
  <si>
    <t xml:space="preserve">S005-P0008</t>
  </si>
  <si>
    <t xml:space="preserve">S005-P0009</t>
  </si>
  <si>
    <t xml:space="preserve">S005-P0010</t>
  </si>
  <si>
    <t xml:space="preserve">S005-P0011</t>
  </si>
  <si>
    <t xml:space="preserve">S005-P0012</t>
  </si>
  <si>
    <t xml:space="preserve">S005-P0013</t>
  </si>
  <si>
    <t xml:space="preserve">S005-P0014</t>
  </si>
  <si>
    <t xml:space="preserve">S005-P0015</t>
  </si>
  <si>
    <t xml:space="preserve">S005-P0016</t>
  </si>
  <si>
    <t xml:space="preserve">S005-P0017</t>
  </si>
  <si>
    <t xml:space="preserve">S005-P0018</t>
  </si>
  <si>
    <t xml:space="preserve">S005-P0019</t>
  </si>
  <si>
    <t xml:space="preserve">S005-P0020</t>
  </si>
  <si>
    <t xml:space="preserve">Store-SKU Scorecard - Exception Frequency Across 731 Days</t>
  </si>
  <si>
    <t xml:space="preserve">Grey columns are aggregated facts; white columns are live formulas. The 'Beyond Noise?' columns test whether a position's exception rate genuinely differs from the system rate or is just sampling variation.</t>
  </si>
  <si>
    <t xml:space="preserve">Total Units Sold</t>
  </si>
  <si>
    <t xml:space="preserve">Demand Std Dev</t>
  </si>
  <si>
    <t xml:space="preserve">Avg Inventory (units)</t>
  </si>
  <si>
    <t xml:space="preserve">Avg Price ($)</t>
  </si>
  <si>
    <t xml:space="preserve">Days Critical</t>
  </si>
  <si>
    <t xml:space="preserve">Days Excess</t>
  </si>
  <si>
    <t xml:space="preserve">Sold-Out Days</t>
  </si>
  <si>
    <t xml:space="preserve">Stockout-Risk Days</t>
  </si>
  <si>
    <t xml:space="preserve">Unserved Units</t>
  </si>
  <si>
    <t xml:space="preserve">Forecast Bias (units)</t>
  </si>
  <si>
    <t xml:space="preserve">Inventory Turnover (x/yr)</t>
  </si>
  <si>
    <t xml:space="preserve">Avg Days of Cover</t>
  </si>
  <si>
    <t xml:space="preserve">Avg Inventory Value ($)</t>
  </si>
  <si>
    <t xml:space="preserve">% Days Critical</t>
  </si>
  <si>
    <t xml:space="preserve">% Days Excess</t>
  </si>
  <si>
    <t xml:space="preserve">Critical Beyond Noise?</t>
  </si>
  <si>
    <t xml:space="preserve">Excess Beyond Noise?</t>
  </si>
  <si>
    <t xml:space="preserve">Monitoring Priority</t>
  </si>
  <si>
    <t xml:space="preserve">Monthly Demand and Inventory Summary</t>
  </si>
  <si>
    <t xml:space="preserve">Complete Month = 0 marks a partial period. January 2024 holds a single day (2024-01-01) and is excluded from growth calculations.</t>
  </si>
  <si>
    <t xml:space="preserve">Year-Month</t>
  </si>
  <si>
    <t xml:space="preserve">Units Sold</t>
  </si>
  <si>
    <t xml:space="preserve">Revenue ($)</t>
  </si>
  <si>
    <t xml:space="preserve">Critical Position-Days</t>
  </si>
  <si>
    <t xml:space="preserve">Excess Position-Days</t>
  </si>
  <si>
    <t xml:space="preserve">Avg Excess Value ($)</t>
  </si>
  <si>
    <t xml:space="preserve">Position Days</t>
  </si>
  <si>
    <t xml:space="preserve">Complete Month</t>
  </si>
  <si>
    <t xml:space="preserve">MoM Units Growth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</si>
  <si>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</si>
  <si>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</si>
  <si>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</si>
  <si>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</si>
  <si>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</si>
  <si>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</si>
  <si>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</si>
  <si>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</si>
  <si>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</si>
  <si>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</si>
  <si>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</si>
  <si>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</si>
  <si>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</si>
  <si>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</si>
  <si>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</si>
  <si>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</si>
  <si>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</si>
  <si>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</si>
  <si>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</si>
  <si>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</si>
  <si>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</si>
  <si>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</si>
  <si>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</si>
  <si>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</si>
  <si>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</si>
  <si>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Store Roll-Up</t>
  </si>
  <si>
    <t xml:space="preserve">Every figure is a SUMIF / AVERAGEIF / COUNTIFS against SKU_Scorecard.</t>
  </si>
  <si>
    <t xml:space="preserve">SKU Positions</t>
  </si>
  <si>
    <t xml:space="preserve">Avg Turnover (x/yr)</t>
  </si>
  <si>
    <t xml:space="preserve">Avg % Days Critical</t>
  </si>
  <si>
    <t xml:space="preserve">Avg % Days Excess</t>
  </si>
  <si>
    <t xml:space="preserve">Total Unserved Units</t>
  </si>
  <si>
    <t xml:space="preserve">Positions Flagged for Watch</t>
  </si>
  <si>
    <t xml:space="preserve">Headline KPIs</t>
  </si>
  <si>
    <t xml:space="preserve">All values are formulas over the other sheets. Nothing is hardcoded.</t>
  </si>
  <si>
    <t xml:space="preserve">KPI</t>
  </si>
  <si>
    <t xml:space="preserve">Definition</t>
  </si>
  <si>
    <t xml:space="preserve">PERIOD TOTALS</t>
  </si>
  <si>
    <t xml:space="preserve">All 100 positions across 731 days.</t>
  </si>
  <si>
    <t xml:space="preserve">Total Revenue</t>
  </si>
  <si>
    <t xml:space="preserve">Units sold x price x (1 - discount).</t>
  </si>
  <si>
    <t xml:space="preserve">Total Inventory Value on Hand</t>
  </si>
  <si>
    <t xml:space="preserve">Average daily value across all positions, at retail. No cost column exists.</t>
  </si>
  <si>
    <t xml:space="preserve">INVENTORY EFFICIENCY</t>
  </si>
  <si>
    <t xml:space="preserve">Average inventory divided by average daily demand.</t>
  </si>
  <si>
    <t xml:space="preserve">Avg Inventory Turnover (x/yr)</t>
  </si>
  <si>
    <t xml:space="preserve">Annualised. High because cover sits near two days - a fast-moving retail profile.</t>
  </si>
  <si>
    <t xml:space="preserve">System Critical Rate (%)</t>
  </si>
  <si>
    <t xml:space="preserve">Share of position-days below one day of cover.</t>
  </si>
  <si>
    <t xml:space="preserve">System Excess Rate (%)</t>
  </si>
  <si>
    <t xml:space="preserve">Share of position-days above target cover.</t>
  </si>
  <si>
    <t xml:space="preserve">SERVICE RISK</t>
  </si>
  <si>
    <t xml:space="preserve">Total Sold-Out Days</t>
  </si>
  <si>
    <t xml:space="preserve">Position-days that ended with zero stock; true demand was censored.</t>
  </si>
  <si>
    <t xml:space="preserve">Total Stockout-Risk Days</t>
  </si>
  <si>
    <t xml:space="preserve">Position-days where forecast demand exceeded stock on hand.</t>
  </si>
  <si>
    <t xml:space="preserve">Forecast demand the position could not have covered.</t>
  </si>
  <si>
    <t xml:space="preserve">FORECAST QUALITY</t>
  </si>
  <si>
    <t xml:space="preserve">Avg Forecast Bias (units/day)</t>
  </si>
  <si>
    <t xml:space="preserve">Positive means the supplied forecast runs above what actually sold.</t>
  </si>
  <si>
    <t xml:space="preserve">LATEST-DAY ACTION LIST</t>
  </si>
  <si>
    <t xml:space="preserve">Positions: REPLENISH NOW</t>
  </si>
  <si>
    <t xml:space="preserve">Below one day of cover on 2024-01-01.</t>
  </si>
  <si>
    <t xml:space="preserve">Positions: REPLENISH</t>
  </si>
  <si>
    <t xml:space="preserve">Between the critical and reorder thresholds.</t>
  </si>
  <si>
    <t xml:space="preserve">Positions: MAINTAIN</t>
  </si>
  <si>
    <t xml:space="preserve">Between reorder and target cover.</t>
  </si>
  <si>
    <t xml:space="preserve">Positions: REDUCE STOCK</t>
  </si>
  <si>
    <t xml:space="preserve">Above target cover.</t>
  </si>
  <si>
    <t xml:space="preserve">Units to Order Today</t>
  </si>
  <si>
    <t xml:space="preserve">Units required to bring every position up to target cover.</t>
  </si>
  <si>
    <t xml:space="preserve">Today's Order Gap (units)</t>
  </si>
  <si>
    <t xml:space="preserve">Actual order quantity minus requirement. Negative means under-ordering versus need.</t>
  </si>
  <si>
    <t xml:space="preserve">MONITORING</t>
  </si>
  <si>
    <t xml:space="preserve">Positions whose exception rate is genuinely outside the noise band.</t>
  </si>
  <si>
    <t xml:space="preserve">Positions Classed Routine</t>
  </si>
  <si>
    <t xml:space="preserve">Exception rate indistinguishable from the system average.</t>
  </si>
  <si>
    <t xml:space="preserve">Data Dictionary</t>
  </si>
  <si>
    <t xml:space="preserve">Field</t>
  </si>
  <si>
    <t xml:space="preserve">Origin</t>
  </si>
  <si>
    <t xml:space="preserve">Type</t>
  </si>
  <si>
    <t xml:space="preserve">Definition / Note</t>
  </si>
  <si>
    <t xml:space="preserve">Date</t>
  </si>
  <si>
    <t xml:space="preserve">Source</t>
  </si>
  <si>
    <t xml:space="preserve">2022-01-01 to 2024-01-01. 731 consecutive days, no gaps.</t>
  </si>
  <si>
    <t xml:space="preserve">Text</t>
  </si>
  <si>
    <t xml:space="preserve">S001-S005. Five stores.</t>
  </si>
  <si>
    <t xml:space="preserve">P0001-P0020. Twenty products, each stocked in all five stores.</t>
  </si>
  <si>
    <t xml:space="preserve">Category</t>
  </si>
  <si>
    <t xml:space="preserve">Five values. WARNING: varies row-to-row for the same product, so it is a transaction label, not a product attribute.</t>
  </si>
  <si>
    <t xml:space="preserve">Region</t>
  </si>
  <si>
    <t xml:space="preserve">Four values. WARNING: varies row-to-row for the same store, so it is not a store attribute.</t>
  </si>
  <si>
    <t xml:space="preserve">Inventory Level</t>
  </si>
  <si>
    <t xml:space="preserve">Integer</t>
  </si>
  <si>
    <t xml:space="preserve">Units on hand, daily snapshot.</t>
  </si>
  <si>
    <t xml:space="preserve">Units sold that day. Never exceeds Inventory Level.</t>
  </si>
  <si>
    <t xml:space="preserve">Units Ordered</t>
  </si>
  <si>
    <t xml:space="preserve">Units ordered that day, 20-200. Uncorrelated with demand or stock position (|r| &lt; 0.002).</t>
  </si>
  <si>
    <t xml:space="preserve">Demand Forecast</t>
  </si>
  <si>
    <t xml:space="preserve">Decimal</t>
  </si>
  <si>
    <t xml:space="preserve">Supplied forecast. Carries a systematic upward bias of about 5 units.</t>
  </si>
  <si>
    <t xml:space="preserve">Price</t>
  </si>
  <si>
    <t xml:space="preserve">Shelf price per unit, roughly $10-$100.</t>
  </si>
  <si>
    <t xml:space="preserve">Discount</t>
  </si>
  <si>
    <t xml:space="preserve">Whole-number percent: 0, 5, 10, 15 or 20.</t>
  </si>
  <si>
    <t xml:space="preserve">Weather Condition</t>
  </si>
  <si>
    <t xml:space="preserve">Four values. No measurable effect on units sold.</t>
  </si>
  <si>
    <t xml:space="preserve">Holiday/Promotion</t>
  </si>
  <si>
    <t xml:space="preserve">Binary</t>
  </si>
  <si>
    <t xml:space="preserve">0 or 1. No statistically significant volume effect (p = 0.92).</t>
  </si>
  <si>
    <t xml:space="preserve">Competitor Pricing</t>
  </si>
  <si>
    <t xml:space="preserve">Tracks Price almost exactly (r = 0.99).</t>
  </si>
  <si>
    <t xml:space="preserve">Seasonality</t>
  </si>
  <si>
    <t xml:space="preserve">Four values, not aligned to the calendar month.</t>
  </si>
  <si>
    <t xml:space="preserve">SKU_Key</t>
  </si>
  <si>
    <t xml:space="preserve">Derived</t>
  </si>
  <si>
    <t xml:space="preserve">Store ID + Product ID. The true stock position key.</t>
  </si>
  <si>
    <t xml:space="preserve">Net_Price</t>
  </si>
  <si>
    <t xml:space="preserve">Price x (1 - Discount/100).</t>
  </si>
  <si>
    <t xml:space="preserve">Revenue</t>
  </si>
  <si>
    <t xml:space="preserve">Units Sold x Net Price.</t>
  </si>
  <si>
    <t xml:space="preserve">Inventory_Value</t>
  </si>
  <si>
    <t xml:space="preserve">Inventory Level x Price. At retail - no cost column exists.</t>
  </si>
  <si>
    <t xml:space="preserve">Avg_Daily_Demand</t>
  </si>
  <si>
    <t xml:space="preserve">Trailing 28-day mean of Units Sold per SKU.</t>
  </si>
  <si>
    <t xml:space="preserve">Days_of_Cover</t>
  </si>
  <si>
    <t xml:space="preserve">Inventory Level / Avg Daily Demand. The core metric.</t>
  </si>
  <si>
    <t xml:space="preserve">Reorder_Point</t>
  </si>
  <si>
    <t xml:space="preserve">Avg Daily Demand x reorder cover parameter. A stated policy, not a source field.</t>
  </si>
  <si>
    <t xml:space="preserve">Excess_Units</t>
  </si>
  <si>
    <t xml:space="preserve">Units held above target cover, floored at zero.</t>
  </si>
  <si>
    <t xml:space="preserve">Excess_Value</t>
  </si>
  <si>
    <t xml:space="preserve">Excess Units x Price.</t>
  </si>
  <si>
    <t xml:space="preserve">Sold_Out</t>
  </si>
  <si>
    <t xml:space="preserve">1 when Units Sold equals Inventory Level - demand was censored.</t>
  </si>
  <si>
    <t xml:space="preserve">Stockout_Risk</t>
  </si>
  <si>
    <t xml:space="preserve">1 when Demand Forecast exceeds Inventory Level.</t>
  </si>
  <si>
    <t xml:space="preserve">Unserved_Units</t>
  </si>
  <si>
    <t xml:space="preserve">Demand Forecast minus Inventory Level, floored at zero.</t>
  </si>
  <si>
    <t xml:space="preserve">Forecast_Error</t>
  </si>
  <si>
    <t xml:space="preserve">Demand Forecast minus Units Sold.</t>
  </si>
  <si>
    <t xml:space="preserve">Order_Requirement</t>
  </si>
  <si>
    <t xml:space="preserve">Units needed to reach target cover, floored at zero.</t>
  </si>
  <si>
    <t xml:space="preserve">Order_Gap</t>
  </si>
  <si>
    <t xml:space="preserve">Units Ordered minus Order Requirement.</t>
  </si>
  <si>
    <t xml:space="preserve">Stock_Status</t>
  </si>
  <si>
    <t xml:space="preserve">Critical / Below Reorder / Healthy / Excess, from days of cover.</t>
  </si>
  <si>
    <t xml:space="preserve">Recommended_Action</t>
  </si>
  <si>
    <t xml:space="preserve">REPLENISH NOW / REPLENISH / MAINTAIN / REDUCE STOCK.</t>
  </si>
  <si>
    <t xml:space="preserve">Source Data - First 500 Rows</t>
  </si>
  <si>
    <t xml:space="preserve">Reference only. The full 73,100-row file is at data/raw/retail_store_inventory.csv.</t>
  </si>
  <si>
    <t xml:space="preserve">2022-01-01</t>
  </si>
  <si>
    <t xml:space="preserve">Groceries</t>
  </si>
  <si>
    <t xml:space="preserve">North</t>
  </si>
  <si>
    <t xml:space="preserve">Rainy</t>
  </si>
  <si>
    <t xml:space="preserve">Autumn</t>
  </si>
  <si>
    <t xml:space="preserve">Toys</t>
  </si>
  <si>
    <t xml:space="preserve">South</t>
  </si>
  <si>
    <t xml:space="preserve">Sunny</t>
  </si>
  <si>
    <t xml:space="preserve">West</t>
  </si>
  <si>
    <t xml:space="preserve">Summer</t>
  </si>
  <si>
    <t xml:space="preserve">Cloudy</t>
  </si>
  <si>
    <t xml:space="preserve">Electronics</t>
  </si>
  <si>
    <t xml:space="preserve">East</t>
  </si>
  <si>
    <t xml:space="preserve">Winter</t>
  </si>
  <si>
    <t xml:space="preserve">Furniture</t>
  </si>
  <si>
    <t xml:space="preserve">Clothing</t>
  </si>
  <si>
    <t xml:space="preserve">Spring</t>
  </si>
  <si>
    <t xml:space="preserve">Snowy</t>
  </si>
  <si>
    <t xml:space="preserve">2022-01-02</t>
  </si>
  <si>
    <t xml:space="preserve">2022-01-03</t>
  </si>
  <si>
    <t xml:space="preserve">2022-01-04</t>
  </si>
  <si>
    <t xml:space="preserve">2022-01-05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</si>
</sst>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\$#,##0;&quot;($&quot;#,##0\);\-"/>
    <numFmt numFmtId="168" formatCode="0.0\%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tionRegister" displayName="ActionRegister" ref="A4:N104" headerRowCount="1" totalsRowCount="0" totalsRowShown="0">
  <autoFilter ref="A4:N104"/>
  <tableColumns count="14">
    <tableColumn id="1" name="SKU Key"/>
    <tableColumn id="2" name="Store ID"/>
    <tableColumn id="3" name="Product ID"/>
    <tableColumn id="4" name="Inventory (units)"/>
    <tableColumn id="5" name="Avg Daily Demand"/>
    <tableColumn id="6" name="Days of Cover"/>
    <tableColumn id="7" name="Reorder Point (units)"/>
    <tableColumn id="8" name="Order Qty to Target (units)"/>
    <tableColumn id="9" name="Units Actually Ordered"/>
    <tableColumn id="10" name="Order Gap (units)"/>
    <tableColumn id="11" name="Inventory Value ($)"/>
    <tableColumn id="12" name="Stock Status"/>
    <tableColumn id="13" name="Recommended Action"/>
    <tableColumn id="14" name="Unit Price ($)"/>
  </tableColumns>
</table>
</file>

<file path=xl/tables/table2.xml><?xml version="1.0" encoding="utf-8"?>
<table xmlns="http://schemas.openxmlformats.org/spreadsheetml/2006/main" id="2" name="SKUScorecard" displayName="SKUScorecard" ref="A4:V104" headerRowCount="1" totalsRowCount="0" totalsRowShown="0">
  <autoFilter ref="A4:V104"/>
  <tableColumns count="22">
    <tableColumn id="1" name="SKU Key"/>
    <tableColumn id="2" name="Store ID"/>
    <tableColumn id="3" name="Product ID"/>
    <tableColumn id="4" name="Total Units Sold"/>
    <tableColumn id="5" name="Avg Daily Demand"/>
    <tableColumn id="6" name="Demand Std Dev"/>
    <tableColumn id="7" name="Avg Inventory (units)"/>
    <tableColumn id="8" name="Avg Price ($)"/>
    <tableColumn id="9" name="Days Critical"/>
    <tableColumn id="10" name="Days Excess"/>
    <tableColumn id="11" name="Sold-Out Days"/>
    <tableColumn id="12" name="Stockout-Risk Days"/>
    <tableColumn id="13" name="Unserved Units"/>
    <tableColumn id="14" name="Forecast Bias (units)"/>
    <tableColumn id="15" name="Inventory Turnover (x/yr)"/>
    <tableColumn id="16" name="Avg Days of Cover"/>
    <tableColumn id="17" name="Avg Inventory Value ($)"/>
    <tableColumn id="18" name="% Days Critical"/>
    <tableColumn id="19" name="% Days Excess"/>
    <tableColumn id="20" name="Critical Beyond Noise?"/>
    <tableColumn id="21" name="Excess Beyond Noise?"/>
    <tableColumn id="22" name="Monitoring 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/>
      <c r="B4" s="4"/>
    </row>
    <row r="5" customFormat="false" ht="15" hidden="false" customHeight="true" outlineLevel="0" collapsed="false">
      <c r="A5" s="5" t="s">
        <v>2</v>
      </c>
      <c r="B5" s="4"/>
    </row>
    <row r="6" customFormat="false" ht="30" hidden="false" customHeight="true" outlineLevel="0" collapsed="false">
      <c r="A6" s="3" t="s">
        <v>3</v>
      </c>
      <c r="B6" s="4" t="s">
        <v>4</v>
      </c>
    </row>
    <row r="7" customFormat="false" ht="30" hidden="false" customHeight="true" outlineLevel="0" collapsed="false">
      <c r="A7" s="3" t="s">
        <v>5</v>
      </c>
      <c r="B7" s="4" t="s">
        <v>6</v>
      </c>
    </row>
    <row r="8" customFormat="false" ht="30" hidden="false" customHeight="true" outlineLevel="0" collapsed="false">
      <c r="A8" s="3" t="s">
        <v>7</v>
      </c>
      <c r="B8" s="4" t="s">
        <v>8</v>
      </c>
    </row>
    <row r="9" customFormat="false" ht="15" hidden="false" customHeight="true" outlineLevel="0" collapsed="false">
      <c r="A9" s="3" t="s">
        <v>9</v>
      </c>
      <c r="B9" s="4" t="s">
        <v>10</v>
      </c>
    </row>
    <row r="10" customFormat="false" ht="15" hidden="false" customHeight="true" outlineLevel="0" collapsed="false">
      <c r="A10" s="3" t="s">
        <v>11</v>
      </c>
      <c r="B10" s="4" t="s">
        <v>12</v>
      </c>
    </row>
    <row r="11" customFormat="false" ht="15" hidden="false" customHeight="true" outlineLevel="0" collapsed="false">
      <c r="A11" s="3" t="s">
        <v>13</v>
      </c>
      <c r="B11" s="4" t="s">
        <v>14</v>
      </c>
    </row>
    <row r="12" customFormat="false" ht="15" hidden="false" customHeight="true" outlineLevel="0" collapsed="false">
      <c r="A12" s="3" t="s">
        <v>15</v>
      </c>
      <c r="B12" s="4" t="s">
        <v>16</v>
      </c>
    </row>
    <row r="13" customFormat="false" ht="15" hidden="false" customHeight="true" outlineLevel="0" collapsed="false">
      <c r="A13" s="3" t="s">
        <v>17</v>
      </c>
      <c r="B13" s="4" t="s">
        <v>18</v>
      </c>
    </row>
    <row r="14" customFormat="false" ht="15" hidden="false" customHeight="true" outlineLevel="0" collapsed="false">
      <c r="A14" s="3"/>
      <c r="B14" s="4"/>
    </row>
    <row r="15" customFormat="false" ht="15" hidden="false" customHeight="true" outlineLevel="0" collapsed="false">
      <c r="A15" s="5" t="s">
        <v>19</v>
      </c>
      <c r="B15" s="4"/>
    </row>
    <row r="16" customFormat="false" ht="15" hidden="false" customHeight="true" outlineLevel="0" collapsed="false">
      <c r="A16" s="3" t="s">
        <v>20</v>
      </c>
      <c r="B16" s="4" t="s">
        <v>21</v>
      </c>
    </row>
    <row r="17" customFormat="false" ht="15" hidden="false" customHeight="true" outlineLevel="0" collapsed="false">
      <c r="A17" s="3" t="s">
        <v>22</v>
      </c>
      <c r="B17" s="4" t="s">
        <v>23</v>
      </c>
    </row>
    <row r="18" customFormat="false" ht="15" hidden="false" customHeight="true" outlineLevel="0" collapsed="false">
      <c r="A18" s="3" t="s">
        <v>24</v>
      </c>
      <c r="B18" s="4" t="s">
        <v>25</v>
      </c>
    </row>
    <row r="19" customFormat="false" ht="15" hidden="false" customHeight="true" outlineLevel="0" collapsed="false">
      <c r="A19" s="3"/>
      <c r="B19" s="4"/>
    </row>
    <row r="20" customFormat="false" ht="15" hidden="false" customHeight="true" outlineLevel="0" collapsed="false">
      <c r="A20" s="5" t="s">
        <v>26</v>
      </c>
      <c r="B20" s="4"/>
    </row>
    <row r="21" customFormat="false" ht="30" hidden="false" customHeight="true" outlineLevel="0" collapsed="false">
      <c r="A21" s="3" t="s">
        <v>27</v>
      </c>
      <c r="B21" s="4" t="s">
        <v>28</v>
      </c>
    </row>
    <row r="22" customFormat="false" ht="30" hidden="false" customHeight="true" outlineLevel="0" collapsed="false">
      <c r="A22" s="3" t="s">
        <v>29</v>
      </c>
      <c r="B22" s="4" t="s">
        <v>30</v>
      </c>
    </row>
    <row r="23" customFormat="false" ht="15" hidden="false" customHeight="true" outlineLevel="0" collapsed="false">
      <c r="A23" s="3"/>
      <c r="B23" s="4"/>
    </row>
    <row r="24" customFormat="false" ht="15" hidden="false" customHeight="true" outlineLevel="0" collapsed="false">
      <c r="A24" s="5" t="s">
        <v>31</v>
      </c>
      <c r="B24" s="4"/>
    </row>
    <row r="25" customFormat="false" ht="30" hidden="false" customHeight="true" outlineLevel="0" collapsed="false">
      <c r="A25" s="3" t="s">
        <v>32</v>
      </c>
      <c r="B25" s="4" t="s">
        <v>33</v>
      </c>
    </row>
    <row r="26" customFormat="false" ht="30" hidden="false" customHeight="true" outlineLevel="0" collapsed="false">
      <c r="A26" s="3" t="s">
        <v>34</v>
      </c>
      <c r="B26" s="4" t="s">
        <v>35</v>
      </c>
    </row>
    <row r="27" customFormat="false" ht="15" hidden="false" customHeight="true" outlineLevel="0" collapsed="false">
      <c r="A27" s="3" t="s">
        <v>36</v>
      </c>
      <c r="B27" s="4" t="s">
        <v>37</v>
      </c>
    </row>
    <row r="28" customFormat="false" ht="30" hidden="false" customHeight="true" outlineLevel="0" collapsed="false">
      <c r="A28" s="3" t="s">
        <v>38</v>
      </c>
      <c r="B28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6" t="s">
        <v>40</v>
      </c>
    </row>
    <row r="2" customFormat="false" ht="15" hidden="false" customHeight="false" outlineLevel="0" collapsed="false">
      <c r="A2" s="2" t="s">
        <v>41</v>
      </c>
    </row>
    <row r="4" customFormat="false" ht="30" hidden="false" customHeight="true" outlineLevel="0" collapsed="false">
      <c r="A4" s="7" t="s">
        <v>42</v>
      </c>
      <c r="B4" s="7" t="s">
        <v>43</v>
      </c>
      <c r="C4" s="7" t="s">
        <v>44</v>
      </c>
    </row>
    <row r="5" customFormat="false" ht="27.75" hidden="false" customHeight="true" outlineLevel="0" collapsed="false">
      <c r="A5" s="3" t="s">
        <v>45</v>
      </c>
      <c r="B5" s="8" t="n">
        <v>1</v>
      </c>
      <c r="C5" s="4" t="s">
        <v>46</v>
      </c>
    </row>
    <row r="6" customFormat="false" ht="27.75" hidden="false" customHeight="true" outlineLevel="0" collapsed="false">
      <c r="A6" s="3" t="s">
        <v>47</v>
      </c>
      <c r="B6" s="8" t="n">
        <v>1.5</v>
      </c>
      <c r="C6" s="4" t="s">
        <v>48</v>
      </c>
    </row>
    <row r="7" customFormat="false" ht="27.75" hidden="false" customHeight="true" outlineLevel="0" collapsed="false">
      <c r="A7" s="3" t="s">
        <v>49</v>
      </c>
      <c r="B7" s="8" t="n">
        <v>3</v>
      </c>
      <c r="C7" s="4" t="s">
        <v>50</v>
      </c>
    </row>
    <row r="8" customFormat="false" ht="27.75" hidden="false" customHeight="true" outlineLevel="0" collapsed="false">
      <c r="A8" s="3" t="s">
        <v>51</v>
      </c>
      <c r="B8" s="8" t="n">
        <v>731</v>
      </c>
      <c r="C8" s="4" t="s">
        <v>52</v>
      </c>
    </row>
    <row r="9" customFormat="false" ht="27.75" hidden="false" customHeight="true" outlineLevel="0" collapsed="false">
      <c r="A9" s="3" t="s">
        <v>53</v>
      </c>
      <c r="B9" s="8" t="n">
        <v>365.25</v>
      </c>
      <c r="C9" s="4" t="s">
        <v>54</v>
      </c>
    </row>
    <row r="10" customFormat="false" ht="27.75" hidden="false" customHeight="true" outlineLevel="0" collapsed="false">
      <c r="A10" s="3" t="s">
        <v>55</v>
      </c>
      <c r="B10" s="8" t="n">
        <v>18.68</v>
      </c>
      <c r="C10" s="4" t="s">
        <v>56</v>
      </c>
    </row>
    <row r="11" customFormat="false" ht="27.75" hidden="false" customHeight="true" outlineLevel="0" collapsed="false">
      <c r="A11" s="3" t="s">
        <v>57</v>
      </c>
      <c r="B11" s="8" t="n">
        <v>19.11</v>
      </c>
      <c r="C11" s="4" t="s">
        <v>58</v>
      </c>
    </row>
    <row r="12" customFormat="false" ht="27.75" hidden="false" customHeight="true" outlineLevel="0" collapsed="false">
      <c r="A12" s="3" t="s">
        <v>59</v>
      </c>
      <c r="B12" s="8" t="n">
        <v>2.8</v>
      </c>
      <c r="C12" s="4" t="s">
        <v>60</v>
      </c>
    </row>
    <row r="14" customFormat="false" ht="15" hidden="false" customHeight="false" outlineLevel="0" collapsed="false">
      <c r="A14" s="5" t="s">
        <v>61</v>
      </c>
    </row>
    <row r="15" customFormat="false" ht="15" hidden="false" customHeight="false" outlineLevel="0" collapsed="false">
      <c r="A15" s="3" t="s">
        <v>62</v>
      </c>
      <c r="B15" s="9" t="n">
        <f aca="false">SQRT(($B$10/100)*(1-$B$10/100)/$B$8)*100</f>
        <v>1.44154575798572</v>
      </c>
    </row>
    <row r="16" customFormat="false" ht="15" hidden="false" customHeight="false" outlineLevel="0" collapsed="false">
      <c r="A16" s="3" t="s">
        <v>63</v>
      </c>
      <c r="B16" s="9" t="n">
        <f aca="false">$B$10-$B$12*$B$15</f>
        <v>14.64367187764</v>
      </c>
    </row>
    <row r="17" customFormat="false" ht="15" hidden="false" customHeight="false" outlineLevel="0" collapsed="false">
      <c r="A17" s="3" t="s">
        <v>64</v>
      </c>
      <c r="B17" s="9" t="n">
        <f aca="false">$B$10+$B$12*$B$15</f>
        <v>22.71632812236</v>
      </c>
    </row>
    <row r="18" customFormat="false" ht="15" hidden="false" customHeight="false" outlineLevel="0" collapsed="false">
      <c r="A18" s="3" t="s">
        <v>65</v>
      </c>
      <c r="B18" s="9" t="n">
        <f aca="false">SQRT(($B$11/100)*(1-$B$11/100)/$B$8)*100</f>
        <v>1.45418303181329</v>
      </c>
    </row>
    <row r="19" customFormat="false" ht="15" hidden="false" customHeight="false" outlineLevel="0" collapsed="false">
      <c r="A19" s="3" t="s">
        <v>66</v>
      </c>
      <c r="B19" s="9" t="n">
        <f aca="false">$B$11-$B$12*$B$18</f>
        <v>15.0382875109228</v>
      </c>
    </row>
    <row r="20" customFormat="false" ht="15" hidden="false" customHeight="false" outlineLevel="0" collapsed="false">
      <c r="A20" s="3" t="s">
        <v>67</v>
      </c>
      <c r="B20" s="9" t="n">
        <f aca="false">$B$11+$B$12*$B$18</f>
        <v>23.1817124890772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6" t="s">
        <v>68</v>
      </c>
    </row>
    <row r="2" customFormat="false" ht="15" hidden="false" customHeight="false" outlineLevel="0" collapsed="false">
      <c r="A2" s="2" t="s">
        <v>69</v>
      </c>
    </row>
    <row r="4" customFormat="false" ht="42" hidden="false" customHeight="true" outlineLevel="0" collapsed="false">
      <c r="A4" s="7" t="s">
        <v>70</v>
      </c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76</v>
      </c>
      <c r="H4" s="7" t="s">
        <v>77</v>
      </c>
      <c r="I4" s="7" t="s">
        <v>78</v>
      </c>
      <c r="J4" s="7" t="s">
        <v>79</v>
      </c>
      <c r="K4" s="7" t="s">
        <v>80</v>
      </c>
      <c r="L4" s="7" t="s">
        <v>81</v>
      </c>
      <c r="M4" s="7" t="s">
        <v>82</v>
      </c>
      <c r="N4" s="7" t="s">
        <v>83</v>
      </c>
    </row>
    <row r="5" customFormat="false" ht="15" hidden="false" customHeight="false" outlineLevel="0" collapsed="false">
      <c r="A5" s="10" t="s">
        <v>84</v>
      </c>
      <c r="B5" s="10" t="s">
        <v>85</v>
      </c>
      <c r="C5" s="10" t="s">
        <v>86</v>
      </c>
      <c r="D5" s="11" t="n">
        <v>223</v>
      </c>
      <c r="E5" s="12" t="n">
        <v>128.71</v>
      </c>
      <c r="F5" s="9" t="n">
        <f aca="false">IFERROR(D5/E5,0)</f>
        <v>1.73257711133556</v>
      </c>
      <c r="G5" s="9" t="n">
        <f aca="false">E5*Parameters!$B$6</f>
        <v>193.065</v>
      </c>
      <c r="H5" s="9" t="n">
        <f aca="false">MAX(0,E5*Parameters!$B$7-D5)</f>
        <v>163.13</v>
      </c>
      <c r="I5" s="11" t="n">
        <v>93</v>
      </c>
      <c r="J5" s="9" t="n">
        <f aca="false">I5-H5</f>
        <v>-70.13</v>
      </c>
      <c r="K5" s="13" t="n">
        <f aca="false">D5*N5</f>
        <v>12322.98</v>
      </c>
      <c r="L5" s="14" t="str">
        <f aca="false">IF(F5&lt;Parameters!$B$5,"Critical",IF(F5&lt;Parameters!$B$6,"Below Reorder",IF(F5&lt;=Parameters!$B$7,"Healthy","Excess")))</f>
        <v>Healthy</v>
      </c>
      <c r="M5" s="14" t="str">
        <f aca="false">IF(L5="Critical","REPLENISH NOW",IF(L5="Below Reorder","REPLENISH",IF(L5="Healthy","MAINTAIN","REDUCE STOCK")))</f>
        <v>MAINTAIN</v>
      </c>
      <c r="N5" s="12" t="n">
        <v>55.26</v>
      </c>
    </row>
    <row r="6" customFormat="false" ht="15" hidden="false" customHeight="false" outlineLevel="0" collapsed="false">
      <c r="A6" s="10" t="s">
        <v>87</v>
      </c>
      <c r="B6" s="10" t="s">
        <v>85</v>
      </c>
      <c r="C6" s="10" t="s">
        <v>88</v>
      </c>
      <c r="D6" s="11" t="n">
        <v>217</v>
      </c>
      <c r="E6" s="12" t="n">
        <v>102.96</v>
      </c>
      <c r="F6" s="9" t="n">
        <f aca="false">IFERROR(D6/E6,0)</f>
        <v>2.10761460761461</v>
      </c>
      <c r="G6" s="9" t="n">
        <f aca="false">E6*Parameters!$B$6</f>
        <v>154.44</v>
      </c>
      <c r="H6" s="9" t="n">
        <f aca="false">MAX(0,E6*Parameters!$B$7-D6)</f>
        <v>91.88</v>
      </c>
      <c r="I6" s="11" t="n">
        <v>73</v>
      </c>
      <c r="J6" s="9" t="n">
        <f aca="false">I6-H6</f>
        <v>-18.88</v>
      </c>
      <c r="K6" s="13" t="n">
        <f aca="false">D6*N6</f>
        <v>9730.28</v>
      </c>
      <c r="L6" s="14" t="str">
        <f aca="false">IF(F6&lt;Parameters!$B$5,"Critical",IF(F6&lt;Parameters!$B$6,"Below Reorder",IF(F6&lt;=Parameters!$B$7,"Healthy","Excess")))</f>
        <v>Healthy</v>
      </c>
      <c r="M6" s="14" t="str">
        <f aca="false">IF(L6="Critical","REPLENISH NOW",IF(L6="Below Reorder","REPLENISH",IF(L6="Healthy","MAINTAIN","REDUCE STOCK")))</f>
        <v>MAINTAIN</v>
      </c>
      <c r="N6" s="12" t="n">
        <v>44.84</v>
      </c>
    </row>
    <row r="7" customFormat="false" ht="15" hidden="false" customHeight="false" outlineLevel="0" collapsed="false">
      <c r="A7" s="10" t="s">
        <v>89</v>
      </c>
      <c r="B7" s="10" t="s">
        <v>85</v>
      </c>
      <c r="C7" s="10" t="s">
        <v>90</v>
      </c>
      <c r="D7" s="11" t="n">
        <v>69</v>
      </c>
      <c r="E7" s="12" t="n">
        <v>137.14</v>
      </c>
      <c r="F7" s="9" t="n">
        <f aca="false">IFERROR(D7/E7,0)</f>
        <v>0.503135481989208</v>
      </c>
      <c r="G7" s="9" t="n">
        <f aca="false">E7*Parameters!$B$6</f>
        <v>205.71</v>
      </c>
      <c r="H7" s="9" t="n">
        <f aca="false">MAX(0,E7*Parameters!$B$7-D7)</f>
        <v>342.42</v>
      </c>
      <c r="I7" s="11" t="n">
        <v>191</v>
      </c>
      <c r="J7" s="9" t="n">
        <f aca="false">I7-H7</f>
        <v>-151.42</v>
      </c>
      <c r="K7" s="13" t="n">
        <f aca="false">D7*N7</f>
        <v>1513.86</v>
      </c>
      <c r="L7" s="14" t="str">
        <f aca="false">IF(F7&lt;Parameters!$B$5,"Critical",IF(F7&lt;Parameters!$B$6,"Below Reorder",IF(F7&lt;=Parameters!$B$7,"Healthy","Excess")))</f>
        <v>Critical</v>
      </c>
      <c r="M7" s="14" t="str">
        <f aca="false">IF(L7="Critical","REPLENISH NOW",IF(L7="Below Reorder","REPLENISH",IF(L7="Healthy","MAINTAIN","REDUCE STOCK")))</f>
        <v>REPLENISH NOW</v>
      </c>
      <c r="N7" s="12" t="n">
        <v>21.94</v>
      </c>
    </row>
    <row r="8" customFormat="false" ht="15" hidden="false" customHeight="false" outlineLevel="0" collapsed="false">
      <c r="A8" s="10" t="s">
        <v>91</v>
      </c>
      <c r="B8" s="10" t="s">
        <v>85</v>
      </c>
      <c r="C8" s="10" t="s">
        <v>92</v>
      </c>
      <c r="D8" s="11" t="n">
        <v>338</v>
      </c>
      <c r="E8" s="12" t="n">
        <v>151.14</v>
      </c>
      <c r="F8" s="9" t="n">
        <f aca="false">IFERROR(D8/E8,0)</f>
        <v>2.23633717083499</v>
      </c>
      <c r="G8" s="9" t="n">
        <f aca="false">E8*Parameters!$B$6</f>
        <v>226.71</v>
      </c>
      <c r="H8" s="9" t="n">
        <f aca="false">MAX(0,E8*Parameters!$B$7-D8)</f>
        <v>115.42</v>
      </c>
      <c r="I8" s="11" t="n">
        <v>152</v>
      </c>
      <c r="J8" s="9" t="n">
        <f aca="false">I8-H8</f>
        <v>36.58</v>
      </c>
      <c r="K8" s="13" t="n">
        <f aca="false">D8*N8</f>
        <v>29193.06</v>
      </c>
      <c r="L8" s="14" t="str">
        <f aca="false">IF(F8&lt;Parameters!$B$5,"Critical",IF(F8&lt;Parameters!$B$6,"Below Reorder",IF(F8&lt;=Parameters!$B$7,"Healthy","Excess")))</f>
        <v>Healthy</v>
      </c>
      <c r="M8" s="14" t="str">
        <f aca="false">IF(L8="Critical","REPLENISH NOW",IF(L8="Below Reorder","REPLENISH",IF(L8="Healthy","MAINTAIN","REDUCE STOCK")))</f>
        <v>MAINTAIN</v>
      </c>
      <c r="N8" s="12" t="n">
        <v>86.37</v>
      </c>
    </row>
    <row r="9" customFormat="false" ht="15" hidden="false" customHeight="false" outlineLevel="0" collapsed="false">
      <c r="A9" s="10" t="s">
        <v>93</v>
      </c>
      <c r="B9" s="10" t="s">
        <v>85</v>
      </c>
      <c r="C9" s="10" t="s">
        <v>94</v>
      </c>
      <c r="D9" s="11" t="n">
        <v>471</v>
      </c>
      <c r="E9" s="12" t="n">
        <v>157.64</v>
      </c>
      <c r="F9" s="9" t="n">
        <f aca="false">IFERROR(D9/E9,0)</f>
        <v>2.98782035016493</v>
      </c>
      <c r="G9" s="9" t="n">
        <f aca="false">E9*Parameters!$B$6</f>
        <v>236.46</v>
      </c>
      <c r="H9" s="9" t="n">
        <f aca="false">MAX(0,E9*Parameters!$B$7-D9)</f>
        <v>1.91999999999996</v>
      </c>
      <c r="I9" s="11" t="n">
        <v>167</v>
      </c>
      <c r="J9" s="9" t="n">
        <f aca="false">I9-H9</f>
        <v>165.08</v>
      </c>
      <c r="K9" s="13" t="n">
        <f aca="false">D9*N9</f>
        <v>7338.18</v>
      </c>
      <c r="L9" s="14" t="str">
        <f aca="false">IF(F9&lt;Parameters!$B$5,"Critical",IF(F9&lt;Parameters!$B$6,"Below Reorder",IF(F9&lt;=Parameters!$B$7,"Healthy","Excess")))</f>
        <v>Healthy</v>
      </c>
      <c r="M9" s="14" t="str">
        <f aca="false">IF(L9="Critical","REPLENISH NOW",IF(L9="Below Reorder","REPLENISH",IF(L9="Healthy","MAINTAIN","REDUCE STOCK")))</f>
        <v>MAINTAIN</v>
      </c>
      <c r="N9" s="12" t="n">
        <v>15.58</v>
      </c>
    </row>
    <row r="10" customFormat="false" ht="15" hidden="false" customHeight="false" outlineLevel="0" collapsed="false">
      <c r="A10" s="10" t="s">
        <v>95</v>
      </c>
      <c r="B10" s="10" t="s">
        <v>85</v>
      </c>
      <c r="C10" s="10" t="s">
        <v>96</v>
      </c>
      <c r="D10" s="11" t="n">
        <v>305</v>
      </c>
      <c r="E10" s="12" t="n">
        <v>105.82</v>
      </c>
      <c r="F10" s="9" t="n">
        <f aca="false">IFERROR(D10/E10,0)</f>
        <v>2.88225288225288</v>
      </c>
      <c r="G10" s="9" t="n">
        <f aca="false">E10*Parameters!$B$6</f>
        <v>158.73</v>
      </c>
      <c r="H10" s="9" t="n">
        <f aca="false">MAX(0,E10*Parameters!$B$7-D10)</f>
        <v>12.46</v>
      </c>
      <c r="I10" s="11" t="n">
        <v>114</v>
      </c>
      <c r="J10" s="9" t="n">
        <f aca="false">I10-H10</f>
        <v>101.54</v>
      </c>
      <c r="K10" s="13" t="n">
        <f aca="false">D10*N10</f>
        <v>19751.8</v>
      </c>
      <c r="L10" s="14" t="str">
        <f aca="false">IF(F10&lt;Parameters!$B$5,"Critical",IF(F10&lt;Parameters!$B$6,"Below Reorder",IF(F10&lt;=Parameters!$B$7,"Healthy","Excess")))</f>
        <v>Healthy</v>
      </c>
      <c r="M10" s="14" t="str">
        <f aca="false">IF(L10="Critical","REPLENISH NOW",IF(L10="Below Reorder","REPLENISH",IF(L10="Healthy","MAINTAIN","REDUCE STOCK")))</f>
        <v>MAINTAIN</v>
      </c>
      <c r="N10" s="12" t="n">
        <v>64.76</v>
      </c>
    </row>
    <row r="11" customFormat="false" ht="15" hidden="false" customHeight="false" outlineLevel="0" collapsed="false">
      <c r="A11" s="10" t="s">
        <v>97</v>
      </c>
      <c r="B11" s="10" t="s">
        <v>85</v>
      </c>
      <c r="C11" s="10" t="s">
        <v>98</v>
      </c>
      <c r="D11" s="11" t="n">
        <v>256</v>
      </c>
      <c r="E11" s="12" t="n">
        <v>153.07</v>
      </c>
      <c r="F11" s="9" t="n">
        <f aca="false">IFERROR(D11/E11,0)</f>
        <v>1.67243744691971</v>
      </c>
      <c r="G11" s="9" t="n">
        <f aca="false">E11*Parameters!$B$6</f>
        <v>229.605</v>
      </c>
      <c r="H11" s="9" t="n">
        <f aca="false">MAX(0,E11*Parameters!$B$7-D11)</f>
        <v>203.21</v>
      </c>
      <c r="I11" s="11" t="n">
        <v>184</v>
      </c>
      <c r="J11" s="9" t="n">
        <f aca="false">I11-H11</f>
        <v>-19.21</v>
      </c>
      <c r="K11" s="13" t="n">
        <f aca="false">D11*N11</f>
        <v>19824.64</v>
      </c>
      <c r="L11" s="14" t="str">
        <f aca="false">IF(F11&lt;Parameters!$B$5,"Critical",IF(F11&lt;Parameters!$B$6,"Below Reorder",IF(F11&lt;=Parameters!$B$7,"Healthy","Excess")))</f>
        <v>Healthy</v>
      </c>
      <c r="M11" s="14" t="str">
        <f aca="false">IF(L11="Critical","REPLENISH NOW",IF(L11="Below Reorder","REPLENISH",IF(L11="Healthy","MAINTAIN","REDUCE STOCK")))</f>
        <v>MAINTAIN</v>
      </c>
      <c r="N11" s="12" t="n">
        <v>77.44</v>
      </c>
    </row>
    <row r="12" customFormat="false" ht="15" hidden="false" customHeight="false" outlineLevel="0" collapsed="false">
      <c r="A12" s="10" t="s">
        <v>99</v>
      </c>
      <c r="B12" s="10" t="s">
        <v>85</v>
      </c>
      <c r="C12" s="10" t="s">
        <v>100</v>
      </c>
      <c r="D12" s="11" t="n">
        <v>315</v>
      </c>
      <c r="E12" s="12" t="n">
        <v>131.36</v>
      </c>
      <c r="F12" s="9" t="n">
        <f aca="false">IFERROR(D12/E12,0)</f>
        <v>2.39799025578563</v>
      </c>
      <c r="G12" s="9" t="n">
        <f aca="false">E12*Parameters!$B$6</f>
        <v>197.04</v>
      </c>
      <c r="H12" s="9" t="n">
        <f aca="false">MAX(0,E12*Parameters!$B$7-D12)</f>
        <v>79.08</v>
      </c>
      <c r="I12" s="11" t="n">
        <v>108</v>
      </c>
      <c r="J12" s="9" t="n">
        <f aca="false">I12-H12</f>
        <v>28.92</v>
      </c>
      <c r="K12" s="13" t="n">
        <f aca="false">D12*N12</f>
        <v>9872.1</v>
      </c>
      <c r="L12" s="14" t="str">
        <f aca="false">IF(F12&lt;Parameters!$B$5,"Critical",IF(F12&lt;Parameters!$B$6,"Below Reorder",IF(F12&lt;=Parameters!$B$7,"Healthy","Excess")))</f>
        <v>Healthy</v>
      </c>
      <c r="M12" s="14" t="str">
        <f aca="false">IF(L12="Critical","REPLENISH NOW",IF(L12="Below Reorder","REPLENISH",IF(L12="Healthy","MAINTAIN","REDUCE STOCK")))</f>
        <v>MAINTAIN</v>
      </c>
      <c r="N12" s="12" t="n">
        <v>31.34</v>
      </c>
    </row>
    <row r="13" customFormat="false" ht="15" hidden="false" customHeight="false" outlineLevel="0" collapsed="false">
      <c r="A13" s="10" t="s">
        <v>101</v>
      </c>
      <c r="B13" s="10" t="s">
        <v>85</v>
      </c>
      <c r="C13" s="10" t="s">
        <v>102</v>
      </c>
      <c r="D13" s="11" t="n">
        <v>167</v>
      </c>
      <c r="E13" s="12" t="n">
        <v>157.82</v>
      </c>
      <c r="F13" s="9" t="n">
        <f aca="false">IFERROR(D13/E13,0)</f>
        <v>1.05816753263211</v>
      </c>
      <c r="G13" s="9" t="n">
        <f aca="false">E13*Parameters!$B$6</f>
        <v>236.73</v>
      </c>
      <c r="H13" s="9" t="n">
        <f aca="false">MAX(0,E13*Parameters!$B$7-D13)</f>
        <v>306.46</v>
      </c>
      <c r="I13" s="11" t="n">
        <v>188</v>
      </c>
      <c r="J13" s="9" t="n">
        <f aca="false">I13-H13</f>
        <v>-118.46</v>
      </c>
      <c r="K13" s="13" t="n">
        <f aca="false">D13*N13</f>
        <v>16165.6</v>
      </c>
      <c r="L13" s="14" t="str">
        <f aca="false">IF(F13&lt;Parameters!$B$5,"Critical",IF(F13&lt;Parameters!$B$6,"Below Reorder",IF(F13&lt;=Parameters!$B$7,"Healthy","Excess")))</f>
        <v>Below Reorder</v>
      </c>
      <c r="M13" s="14" t="str">
        <f aca="false">IF(L13="Critical","REPLENISH NOW",IF(L13="Below Reorder","REPLENISH",IF(L13="Healthy","MAINTAIN","REDUCE STOCK")))</f>
        <v>REPLENISH</v>
      </c>
      <c r="N13" s="12" t="n">
        <v>96.8</v>
      </c>
    </row>
    <row r="14" customFormat="false" ht="15" hidden="false" customHeight="false" outlineLevel="0" collapsed="false">
      <c r="A14" s="10" t="s">
        <v>103</v>
      </c>
      <c r="B14" s="10" t="s">
        <v>85</v>
      </c>
      <c r="C14" s="10" t="s">
        <v>104</v>
      </c>
      <c r="D14" s="11" t="n">
        <v>167</v>
      </c>
      <c r="E14" s="12" t="n">
        <v>124.82</v>
      </c>
      <c r="F14" s="9" t="n">
        <f aca="false">IFERROR(D14/E14,0)</f>
        <v>1.33792661432463</v>
      </c>
      <c r="G14" s="9" t="n">
        <f aca="false">E14*Parameters!$B$6</f>
        <v>187.23</v>
      </c>
      <c r="H14" s="9" t="n">
        <f aca="false">MAX(0,E14*Parameters!$B$7-D14)</f>
        <v>207.46</v>
      </c>
      <c r="I14" s="11" t="n">
        <v>107</v>
      </c>
      <c r="J14" s="9" t="n">
        <f aca="false">I14-H14</f>
        <v>-100.46</v>
      </c>
      <c r="K14" s="13" t="n">
        <f aca="false">D14*N14</f>
        <v>6838.65</v>
      </c>
      <c r="L14" s="14" t="str">
        <f aca="false">IF(F14&lt;Parameters!$B$5,"Critical",IF(F14&lt;Parameters!$B$6,"Below Reorder",IF(F14&lt;=Parameters!$B$7,"Healthy","Excess")))</f>
        <v>Below Reorder</v>
      </c>
      <c r="M14" s="14" t="str">
        <f aca="false">IF(L14="Critical","REPLENISH NOW",IF(L14="Below Reorder","REPLENISH",IF(L14="Healthy","MAINTAIN","REDUCE STOCK")))</f>
        <v>REPLENISH</v>
      </c>
      <c r="N14" s="12" t="n">
        <v>40.95</v>
      </c>
    </row>
    <row r="15" customFormat="false" ht="15" hidden="false" customHeight="false" outlineLevel="0" collapsed="false">
      <c r="A15" s="10" t="s">
        <v>105</v>
      </c>
      <c r="B15" s="10" t="s">
        <v>85</v>
      </c>
      <c r="C15" s="10" t="s">
        <v>106</v>
      </c>
      <c r="D15" s="11" t="n">
        <v>449</v>
      </c>
      <c r="E15" s="12" t="n">
        <v>162.64</v>
      </c>
      <c r="F15" s="9" t="n">
        <f aca="false">IFERROR(D15/E15,0)</f>
        <v>2.76069847515986</v>
      </c>
      <c r="G15" s="9" t="n">
        <f aca="false">E15*Parameters!$B$6</f>
        <v>243.96</v>
      </c>
      <c r="H15" s="9" t="n">
        <f aca="false">MAX(0,E15*Parameters!$B$7-D15)</f>
        <v>38.92</v>
      </c>
      <c r="I15" s="11" t="n">
        <v>118</v>
      </c>
      <c r="J15" s="9" t="n">
        <f aca="false">I15-H15</f>
        <v>79.08</v>
      </c>
      <c r="K15" s="13" t="n">
        <f aca="false">D15*N15</f>
        <v>40809.61</v>
      </c>
      <c r="L15" s="14" t="str">
        <f aca="false">IF(F15&lt;Parameters!$B$5,"Critical",IF(F15&lt;Parameters!$B$6,"Below Reorder",IF(F15&lt;=Parameters!$B$7,"Healthy","Excess")))</f>
        <v>Healthy</v>
      </c>
      <c r="M15" s="14" t="str">
        <f aca="false">IF(L15="Critical","REPLENISH NOW",IF(L15="Below Reorder","REPLENISH",IF(L15="Healthy","MAINTAIN","REDUCE STOCK")))</f>
        <v>MAINTAIN</v>
      </c>
      <c r="N15" s="12" t="n">
        <v>90.89</v>
      </c>
    </row>
    <row r="16" customFormat="false" ht="15" hidden="false" customHeight="false" outlineLevel="0" collapsed="false">
      <c r="A16" s="10" t="s">
        <v>107</v>
      </c>
      <c r="B16" s="10" t="s">
        <v>85</v>
      </c>
      <c r="C16" s="10" t="s">
        <v>108</v>
      </c>
      <c r="D16" s="11" t="n">
        <v>213</v>
      </c>
      <c r="E16" s="12" t="n">
        <v>143.11</v>
      </c>
      <c r="F16" s="9" t="n">
        <f aca="false">IFERROR(D16/E16,0)</f>
        <v>1.48836559290057</v>
      </c>
      <c r="G16" s="9" t="n">
        <f aca="false">E16*Parameters!$B$6</f>
        <v>214.665</v>
      </c>
      <c r="H16" s="9" t="n">
        <f aca="false">MAX(0,E16*Parameters!$B$7-D16)</f>
        <v>216.33</v>
      </c>
      <c r="I16" s="11" t="n">
        <v>175</v>
      </c>
      <c r="J16" s="9" t="n">
        <f aca="false">I16-H16</f>
        <v>-41.33</v>
      </c>
      <c r="K16" s="13" t="n">
        <f aca="false">D16*N16</f>
        <v>8336.82</v>
      </c>
      <c r="L16" s="14" t="str">
        <f aca="false">IF(F16&lt;Parameters!$B$5,"Critical",IF(F16&lt;Parameters!$B$6,"Below Reorder",IF(F16&lt;=Parameters!$B$7,"Healthy","Excess")))</f>
        <v>Below Reorder</v>
      </c>
      <c r="M16" s="14" t="str">
        <f aca="false">IF(L16="Critical","REPLENISH NOW",IF(L16="Below Reorder","REPLENISH",IF(L16="Healthy","MAINTAIN","REDUCE STOCK")))</f>
        <v>REPLENISH</v>
      </c>
      <c r="N16" s="12" t="n">
        <v>39.14</v>
      </c>
    </row>
    <row r="17" customFormat="false" ht="15" hidden="false" customHeight="false" outlineLevel="0" collapsed="false">
      <c r="A17" s="10" t="s">
        <v>109</v>
      </c>
      <c r="B17" s="10" t="s">
        <v>85</v>
      </c>
      <c r="C17" s="10" t="s">
        <v>110</v>
      </c>
      <c r="D17" s="11" t="n">
        <v>356</v>
      </c>
      <c r="E17" s="12" t="n">
        <v>123.25</v>
      </c>
      <c r="F17" s="9" t="n">
        <f aca="false">IFERROR(D17/E17,0)</f>
        <v>2.88843813387424</v>
      </c>
      <c r="G17" s="9" t="n">
        <f aca="false">E17*Parameters!$B$6</f>
        <v>184.875</v>
      </c>
      <c r="H17" s="9" t="n">
        <f aca="false">MAX(0,E17*Parameters!$B$7-D17)</f>
        <v>13.75</v>
      </c>
      <c r="I17" s="11" t="n">
        <v>28</v>
      </c>
      <c r="J17" s="9" t="n">
        <f aca="false">I17-H17</f>
        <v>14.25</v>
      </c>
      <c r="K17" s="13" t="n">
        <f aca="false">D17*N17</f>
        <v>21335.08</v>
      </c>
      <c r="L17" s="14" t="str">
        <f aca="false">IF(F17&lt;Parameters!$B$5,"Critical",IF(F17&lt;Parameters!$B$6,"Below Reorder",IF(F17&lt;=Parameters!$B$7,"Healthy","Excess")))</f>
        <v>Healthy</v>
      </c>
      <c r="M17" s="14" t="str">
        <f aca="false">IF(L17="Critical","REPLENISH NOW",IF(L17="Below Reorder","REPLENISH",IF(L17="Healthy","MAINTAIN","REDUCE STOCK")))</f>
        <v>MAINTAIN</v>
      </c>
      <c r="N17" s="12" t="n">
        <v>59.93</v>
      </c>
    </row>
    <row r="18" customFormat="false" ht="15" hidden="false" customHeight="false" outlineLevel="0" collapsed="false">
      <c r="A18" s="10" t="s">
        <v>111</v>
      </c>
      <c r="B18" s="10" t="s">
        <v>85</v>
      </c>
      <c r="C18" s="10" t="s">
        <v>112</v>
      </c>
      <c r="D18" s="11" t="n">
        <v>293</v>
      </c>
      <c r="E18" s="12" t="n">
        <v>154.61</v>
      </c>
      <c r="F18" s="9" t="n">
        <f aca="false">IFERROR(D18/E18,0)</f>
        <v>1.89509087381153</v>
      </c>
      <c r="G18" s="9" t="n">
        <f aca="false">E18*Parameters!$B$6</f>
        <v>231.915</v>
      </c>
      <c r="H18" s="9" t="n">
        <f aca="false">MAX(0,E18*Parameters!$B$7-D18)</f>
        <v>170.83</v>
      </c>
      <c r="I18" s="11" t="n">
        <v>180</v>
      </c>
      <c r="J18" s="9" t="n">
        <f aca="false">I18-H18</f>
        <v>9.16999999999996</v>
      </c>
      <c r="K18" s="13" t="n">
        <f aca="false">D18*N18</f>
        <v>8499.93</v>
      </c>
      <c r="L18" s="14" t="str">
        <f aca="false">IF(F18&lt;Parameters!$B$5,"Critical",IF(F18&lt;Parameters!$B$6,"Below Reorder",IF(F18&lt;=Parameters!$B$7,"Healthy","Excess")))</f>
        <v>Healthy</v>
      </c>
      <c r="M18" s="14" t="str">
        <f aca="false">IF(L18="Critical","REPLENISH NOW",IF(L18="Below Reorder","REPLENISH",IF(L18="Healthy","MAINTAIN","REDUCE STOCK")))</f>
        <v>MAINTAIN</v>
      </c>
      <c r="N18" s="12" t="n">
        <v>29.01</v>
      </c>
    </row>
    <row r="19" customFormat="false" ht="15" hidden="false" customHeight="false" outlineLevel="0" collapsed="false">
      <c r="A19" s="10" t="s">
        <v>113</v>
      </c>
      <c r="B19" s="10" t="s">
        <v>85</v>
      </c>
      <c r="C19" s="10" t="s">
        <v>114</v>
      </c>
      <c r="D19" s="11" t="n">
        <v>356</v>
      </c>
      <c r="E19" s="12" t="n">
        <v>117.32</v>
      </c>
      <c r="F19" s="9" t="n">
        <f aca="false">IFERROR(D19/E19,0)</f>
        <v>3.03443573133311</v>
      </c>
      <c r="G19" s="9" t="n">
        <f aca="false">E19*Parameters!$B$6</f>
        <v>175.98</v>
      </c>
      <c r="H19" s="9" t="n">
        <f aca="false">MAX(0,E19*Parameters!$B$7-D19)</f>
        <v>0</v>
      </c>
      <c r="I19" s="11" t="n">
        <v>60</v>
      </c>
      <c r="J19" s="9" t="n">
        <f aca="false">I19-H19</f>
        <v>60</v>
      </c>
      <c r="K19" s="13" t="n">
        <f aca="false">D19*N19</f>
        <v>8992.56</v>
      </c>
      <c r="L19" s="14" t="str">
        <f aca="false">IF(F19&lt;Parameters!$B$5,"Critical",IF(F19&lt;Parameters!$B$6,"Below Reorder",IF(F19&lt;=Parameters!$B$7,"Healthy","Excess")))</f>
        <v>Excess</v>
      </c>
      <c r="M19" s="14" t="str">
        <f aca="false">IF(L19="Critical","REPLENISH NOW",IF(L19="Below Reorder","REPLENISH",IF(L19="Healthy","MAINTAIN","REDUCE STOCK")))</f>
        <v>REDUCE STOCK</v>
      </c>
      <c r="N19" s="12" t="n">
        <v>25.26</v>
      </c>
    </row>
    <row r="20" customFormat="false" ht="15" hidden="false" customHeight="false" outlineLevel="0" collapsed="false">
      <c r="A20" s="10" t="s">
        <v>115</v>
      </c>
      <c r="B20" s="10" t="s">
        <v>85</v>
      </c>
      <c r="C20" s="10" t="s">
        <v>116</v>
      </c>
      <c r="D20" s="11" t="n">
        <v>74</v>
      </c>
      <c r="E20" s="12" t="n">
        <v>154</v>
      </c>
      <c r="F20" s="9" t="n">
        <f aca="false">IFERROR(D20/E20,0)</f>
        <v>0.480519480519481</v>
      </c>
      <c r="G20" s="9" t="n">
        <f aca="false">E20*Parameters!$B$6</f>
        <v>231</v>
      </c>
      <c r="H20" s="9" t="n">
        <f aca="false">MAX(0,E20*Parameters!$B$7-D20)</f>
        <v>388</v>
      </c>
      <c r="I20" s="11" t="n">
        <v>189</v>
      </c>
      <c r="J20" s="9" t="n">
        <f aca="false">I20-H20</f>
        <v>-199</v>
      </c>
      <c r="K20" s="13" t="n">
        <f aca="false">D20*N20</f>
        <v>3005.14</v>
      </c>
      <c r="L20" s="14" t="str">
        <f aca="false">IF(F20&lt;Parameters!$B$5,"Critical",IF(F20&lt;Parameters!$B$6,"Below Reorder",IF(F20&lt;=Parameters!$B$7,"Healthy","Excess")))</f>
        <v>Critical</v>
      </c>
      <c r="M20" s="14" t="str">
        <f aca="false">IF(L20="Critical","REPLENISH NOW",IF(L20="Below Reorder","REPLENISH",IF(L20="Healthy","MAINTAIN","REDUCE STOCK")))</f>
        <v>REPLENISH NOW</v>
      </c>
      <c r="N20" s="12" t="n">
        <v>40.61</v>
      </c>
    </row>
    <row r="21" customFormat="false" ht="15" hidden="false" customHeight="false" outlineLevel="0" collapsed="false">
      <c r="A21" s="10" t="s">
        <v>117</v>
      </c>
      <c r="B21" s="10" t="s">
        <v>85</v>
      </c>
      <c r="C21" s="10" t="s">
        <v>118</v>
      </c>
      <c r="D21" s="11" t="n">
        <v>282</v>
      </c>
      <c r="E21" s="12" t="n">
        <v>118.39</v>
      </c>
      <c r="F21" s="9" t="n">
        <f aca="false">IFERROR(D21/E21,0)</f>
        <v>2.38195793563646</v>
      </c>
      <c r="G21" s="9" t="n">
        <f aca="false">E21*Parameters!$B$6</f>
        <v>177.585</v>
      </c>
      <c r="H21" s="9" t="n">
        <f aca="false">MAX(0,E21*Parameters!$B$7-D21)</f>
        <v>73.17</v>
      </c>
      <c r="I21" s="11" t="n">
        <v>61</v>
      </c>
      <c r="J21" s="9" t="n">
        <f aca="false">I21-H21</f>
        <v>-12.17</v>
      </c>
      <c r="K21" s="13" t="n">
        <f aca="false">D21*N21</f>
        <v>5831.76</v>
      </c>
      <c r="L21" s="14" t="str">
        <f aca="false">IF(F21&lt;Parameters!$B$5,"Critical",IF(F21&lt;Parameters!$B$6,"Below Reorder",IF(F21&lt;=Parameters!$B$7,"Healthy","Excess")))</f>
        <v>Healthy</v>
      </c>
      <c r="M21" s="14" t="str">
        <f aca="false">IF(L21="Critical","REPLENISH NOW",IF(L21="Below Reorder","REPLENISH",IF(L21="Healthy","MAINTAIN","REDUCE STOCK")))</f>
        <v>MAINTAIN</v>
      </c>
      <c r="N21" s="12" t="n">
        <v>20.68</v>
      </c>
    </row>
    <row r="22" customFormat="false" ht="15" hidden="false" customHeight="false" outlineLevel="0" collapsed="false">
      <c r="A22" s="10" t="s">
        <v>119</v>
      </c>
      <c r="B22" s="10" t="s">
        <v>85</v>
      </c>
      <c r="C22" s="10" t="s">
        <v>120</v>
      </c>
      <c r="D22" s="11" t="n">
        <v>191</v>
      </c>
      <c r="E22" s="12" t="n">
        <v>91.86</v>
      </c>
      <c r="F22" s="9" t="n">
        <f aca="false">IFERROR(D22/E22,0)</f>
        <v>2.07925103418245</v>
      </c>
      <c r="G22" s="9" t="n">
        <f aca="false">E22*Parameters!$B$6</f>
        <v>137.79</v>
      </c>
      <c r="H22" s="9" t="n">
        <f aca="false">MAX(0,E22*Parameters!$B$7-D22)</f>
        <v>84.58</v>
      </c>
      <c r="I22" s="11" t="n">
        <v>95</v>
      </c>
      <c r="J22" s="9" t="n">
        <f aca="false">I22-H22</f>
        <v>10.42</v>
      </c>
      <c r="K22" s="13" t="n">
        <f aca="false">D22*N22</f>
        <v>4603.1</v>
      </c>
      <c r="L22" s="14" t="str">
        <f aca="false">IF(F22&lt;Parameters!$B$5,"Critical",IF(F22&lt;Parameters!$B$6,"Below Reorder",IF(F22&lt;=Parameters!$B$7,"Healthy","Excess")))</f>
        <v>Healthy</v>
      </c>
      <c r="M22" s="14" t="str">
        <f aca="false">IF(L22="Critical","REPLENISH NOW",IF(L22="Below Reorder","REPLENISH",IF(L22="Healthy","MAINTAIN","REDUCE STOCK")))</f>
        <v>MAINTAIN</v>
      </c>
      <c r="N22" s="12" t="n">
        <v>24.1</v>
      </c>
    </row>
    <row r="23" customFormat="false" ht="15" hidden="false" customHeight="false" outlineLevel="0" collapsed="false">
      <c r="A23" s="10" t="s">
        <v>121</v>
      </c>
      <c r="B23" s="10" t="s">
        <v>85</v>
      </c>
      <c r="C23" s="10" t="s">
        <v>122</v>
      </c>
      <c r="D23" s="11" t="n">
        <v>149</v>
      </c>
      <c r="E23" s="12" t="n">
        <v>124.61</v>
      </c>
      <c r="F23" s="9" t="n">
        <f aca="false">IFERROR(D23/E23,0)</f>
        <v>1.19573067972073</v>
      </c>
      <c r="G23" s="9" t="n">
        <f aca="false">E23*Parameters!$B$6</f>
        <v>186.915</v>
      </c>
      <c r="H23" s="9" t="n">
        <f aca="false">MAX(0,E23*Parameters!$B$7-D23)</f>
        <v>224.83</v>
      </c>
      <c r="I23" s="11" t="n">
        <v>85</v>
      </c>
      <c r="J23" s="9" t="n">
        <f aca="false">I23-H23</f>
        <v>-139.83</v>
      </c>
      <c r="K23" s="13" t="n">
        <f aca="false">D23*N23</f>
        <v>12174.79</v>
      </c>
      <c r="L23" s="14" t="str">
        <f aca="false">IF(F23&lt;Parameters!$B$5,"Critical",IF(F23&lt;Parameters!$B$6,"Below Reorder",IF(F23&lt;=Parameters!$B$7,"Healthy","Excess")))</f>
        <v>Below Reorder</v>
      </c>
      <c r="M23" s="14" t="str">
        <f aca="false">IF(L23="Critical","REPLENISH NOW",IF(L23="Below Reorder","REPLENISH",IF(L23="Healthy","MAINTAIN","REDUCE STOCK")))</f>
        <v>REPLENISH</v>
      </c>
      <c r="N23" s="12" t="n">
        <v>81.71</v>
      </c>
    </row>
    <row r="24" customFormat="false" ht="15" hidden="false" customHeight="false" outlineLevel="0" collapsed="false">
      <c r="A24" s="10" t="s">
        <v>123</v>
      </c>
      <c r="B24" s="10" t="s">
        <v>85</v>
      </c>
      <c r="C24" s="10" t="s">
        <v>124</v>
      </c>
      <c r="D24" s="11" t="n">
        <v>242</v>
      </c>
      <c r="E24" s="12" t="n">
        <v>137.79</v>
      </c>
      <c r="F24" s="9" t="n">
        <f aca="false">IFERROR(D24/E24,0)</f>
        <v>1.75629581246825</v>
      </c>
      <c r="G24" s="9" t="n">
        <f aca="false">E24*Parameters!$B$6</f>
        <v>206.685</v>
      </c>
      <c r="H24" s="9" t="n">
        <f aca="false">MAX(0,E24*Parameters!$B$7-D24)</f>
        <v>171.37</v>
      </c>
      <c r="I24" s="11" t="n">
        <v>198</v>
      </c>
      <c r="J24" s="9" t="n">
        <f aca="false">I24-H24</f>
        <v>26.63</v>
      </c>
      <c r="K24" s="13" t="n">
        <f aca="false">D24*N24</f>
        <v>2662</v>
      </c>
      <c r="L24" s="14" t="str">
        <f aca="false">IF(F24&lt;Parameters!$B$5,"Critical",IF(F24&lt;Parameters!$B$6,"Below Reorder",IF(F24&lt;=Parameters!$B$7,"Healthy","Excess")))</f>
        <v>Healthy</v>
      </c>
      <c r="M24" s="14" t="str">
        <f aca="false">IF(L24="Critical","REPLENISH NOW",IF(L24="Below Reorder","REPLENISH",IF(L24="Healthy","MAINTAIN","REDUCE STOCK")))</f>
        <v>MAINTAIN</v>
      </c>
      <c r="N24" s="12" t="n">
        <v>11</v>
      </c>
    </row>
    <row r="25" customFormat="false" ht="15" hidden="false" customHeight="false" outlineLevel="0" collapsed="false">
      <c r="A25" s="10" t="s">
        <v>125</v>
      </c>
      <c r="B25" s="10" t="s">
        <v>126</v>
      </c>
      <c r="C25" s="10" t="s">
        <v>86</v>
      </c>
      <c r="D25" s="11" t="n">
        <v>415</v>
      </c>
      <c r="E25" s="12" t="n">
        <v>161.86</v>
      </c>
      <c r="F25" s="9" t="n">
        <f aca="false">IFERROR(D25/E25,0)</f>
        <v>2.5639441492648</v>
      </c>
      <c r="G25" s="9" t="n">
        <f aca="false">E25*Parameters!$B$6</f>
        <v>242.79</v>
      </c>
      <c r="H25" s="9" t="n">
        <f aca="false">MAX(0,E25*Parameters!$B$7-D25)</f>
        <v>70.58</v>
      </c>
      <c r="I25" s="11" t="n">
        <v>67</v>
      </c>
      <c r="J25" s="9" t="n">
        <f aca="false">I25-H25</f>
        <v>-3.58000000000004</v>
      </c>
      <c r="K25" s="13" t="n">
        <f aca="false">D25*N25</f>
        <v>4863.8</v>
      </c>
      <c r="L25" s="14" t="str">
        <f aca="false">IF(F25&lt;Parameters!$B$5,"Critical",IF(F25&lt;Parameters!$B$6,"Below Reorder",IF(F25&lt;=Parameters!$B$7,"Healthy","Excess")))</f>
        <v>Healthy</v>
      </c>
      <c r="M25" s="14" t="str">
        <f aca="false">IF(L25="Critical","REPLENISH NOW",IF(L25="Below Reorder","REPLENISH",IF(L25="Healthy","MAINTAIN","REDUCE STOCK")))</f>
        <v>MAINTAIN</v>
      </c>
      <c r="N25" s="12" t="n">
        <v>11.72</v>
      </c>
    </row>
    <row r="26" customFormat="false" ht="15" hidden="false" customHeight="false" outlineLevel="0" collapsed="false">
      <c r="A26" s="10" t="s">
        <v>127</v>
      </c>
      <c r="B26" s="10" t="s">
        <v>126</v>
      </c>
      <c r="C26" s="10" t="s">
        <v>88</v>
      </c>
      <c r="D26" s="11" t="n">
        <v>364</v>
      </c>
      <c r="E26" s="12" t="n">
        <v>96.18</v>
      </c>
      <c r="F26" s="9" t="n">
        <f aca="false">IFERROR(D26/E26,0)</f>
        <v>3.78457059679767</v>
      </c>
      <c r="G26" s="9" t="n">
        <f aca="false">E26*Parameters!$B$6</f>
        <v>144.27</v>
      </c>
      <c r="H26" s="9" t="n">
        <f aca="false">MAX(0,E26*Parameters!$B$7-D26)</f>
        <v>0</v>
      </c>
      <c r="I26" s="11" t="n">
        <v>149</v>
      </c>
      <c r="J26" s="9" t="n">
        <f aca="false">I26-H26</f>
        <v>149</v>
      </c>
      <c r="K26" s="13" t="n">
        <f aca="false">D26*N26</f>
        <v>20988.24</v>
      </c>
      <c r="L26" s="14" t="str">
        <f aca="false">IF(F26&lt;Parameters!$B$5,"Critical",IF(F26&lt;Parameters!$B$6,"Below Reorder",IF(F26&lt;=Parameters!$B$7,"Healthy","Excess")))</f>
        <v>Excess</v>
      </c>
      <c r="M26" s="14" t="str">
        <f aca="false">IF(L26="Critical","REPLENISH NOW",IF(L26="Below Reorder","REPLENISH",IF(L26="Healthy","MAINTAIN","REDUCE STOCK")))</f>
        <v>REDUCE STOCK</v>
      </c>
      <c r="N26" s="12" t="n">
        <v>57.66</v>
      </c>
    </row>
    <row r="27" customFormat="false" ht="15" hidden="false" customHeight="false" outlineLevel="0" collapsed="false">
      <c r="A27" s="10" t="s">
        <v>128</v>
      </c>
      <c r="B27" s="10" t="s">
        <v>126</v>
      </c>
      <c r="C27" s="10" t="s">
        <v>90</v>
      </c>
      <c r="D27" s="11" t="n">
        <v>372</v>
      </c>
      <c r="E27" s="12" t="n">
        <v>130.54</v>
      </c>
      <c r="F27" s="9" t="n">
        <f aca="false">IFERROR(D27/E27,0)</f>
        <v>2.84970124099893</v>
      </c>
      <c r="G27" s="9" t="n">
        <f aca="false">E27*Parameters!$B$6</f>
        <v>195.81</v>
      </c>
      <c r="H27" s="9" t="n">
        <f aca="false">MAX(0,E27*Parameters!$B$7-D27)</f>
        <v>19.62</v>
      </c>
      <c r="I27" s="11" t="n">
        <v>132</v>
      </c>
      <c r="J27" s="9" t="n">
        <f aca="false">I27-H27</f>
        <v>112.38</v>
      </c>
      <c r="K27" s="13" t="n">
        <f aca="false">D27*N27</f>
        <v>30358.92</v>
      </c>
      <c r="L27" s="14" t="str">
        <f aca="false">IF(F27&lt;Parameters!$B$5,"Critical",IF(F27&lt;Parameters!$B$6,"Below Reorder",IF(F27&lt;=Parameters!$B$7,"Healthy","Excess")))</f>
        <v>Healthy</v>
      </c>
      <c r="M27" s="14" t="str">
        <f aca="false">IF(L27="Critical","REPLENISH NOW",IF(L27="Below Reorder","REPLENISH",IF(L27="Healthy","MAINTAIN","REDUCE STOCK")))</f>
        <v>MAINTAIN</v>
      </c>
      <c r="N27" s="12" t="n">
        <v>81.61</v>
      </c>
    </row>
    <row r="28" customFormat="false" ht="15" hidden="false" customHeight="false" outlineLevel="0" collapsed="false">
      <c r="A28" s="10" t="s">
        <v>129</v>
      </c>
      <c r="B28" s="10" t="s">
        <v>126</v>
      </c>
      <c r="C28" s="10" t="s">
        <v>92</v>
      </c>
      <c r="D28" s="11" t="n">
        <v>133</v>
      </c>
      <c r="E28" s="12" t="n">
        <v>130.39</v>
      </c>
      <c r="F28" s="9" t="n">
        <f aca="false">IFERROR(D28/E28,0)</f>
        <v>1.02001687245954</v>
      </c>
      <c r="G28" s="9" t="n">
        <f aca="false">E28*Parameters!$B$6</f>
        <v>195.585</v>
      </c>
      <c r="H28" s="9" t="n">
        <f aca="false">MAX(0,E28*Parameters!$B$7-D28)</f>
        <v>258.17</v>
      </c>
      <c r="I28" s="11" t="n">
        <v>77</v>
      </c>
      <c r="J28" s="9" t="n">
        <f aca="false">I28-H28</f>
        <v>-181.17</v>
      </c>
      <c r="K28" s="13" t="n">
        <f aca="false">D28*N28</f>
        <v>3362.24</v>
      </c>
      <c r="L28" s="14" t="str">
        <f aca="false">IF(F28&lt;Parameters!$B$5,"Critical",IF(F28&lt;Parameters!$B$6,"Below Reorder",IF(F28&lt;=Parameters!$B$7,"Healthy","Excess")))</f>
        <v>Below Reorder</v>
      </c>
      <c r="M28" s="14" t="str">
        <f aca="false">IF(L28="Critical","REPLENISH NOW",IF(L28="Below Reorder","REPLENISH",IF(L28="Healthy","MAINTAIN","REDUCE STOCK")))</f>
        <v>REPLENISH</v>
      </c>
      <c r="N28" s="12" t="n">
        <v>25.28</v>
      </c>
    </row>
    <row r="29" customFormat="false" ht="15" hidden="false" customHeight="false" outlineLevel="0" collapsed="false">
      <c r="A29" s="10" t="s">
        <v>130</v>
      </c>
      <c r="B29" s="10" t="s">
        <v>126</v>
      </c>
      <c r="C29" s="10" t="s">
        <v>94</v>
      </c>
      <c r="D29" s="11" t="n">
        <v>464</v>
      </c>
      <c r="E29" s="12" t="n">
        <v>130.96</v>
      </c>
      <c r="F29" s="9" t="n">
        <f aca="false">IFERROR(D29/E29,0)</f>
        <v>3.54306658521686</v>
      </c>
      <c r="G29" s="9" t="n">
        <f aca="false">E29*Parameters!$B$6</f>
        <v>196.44</v>
      </c>
      <c r="H29" s="9" t="n">
        <f aca="false">MAX(0,E29*Parameters!$B$7-D29)</f>
        <v>0</v>
      </c>
      <c r="I29" s="11" t="n">
        <v>44</v>
      </c>
      <c r="J29" s="9" t="n">
        <f aca="false">I29-H29</f>
        <v>44</v>
      </c>
      <c r="K29" s="13" t="n">
        <f aca="false">D29*N29</f>
        <v>7878.72</v>
      </c>
      <c r="L29" s="14" t="str">
        <f aca="false">IF(F29&lt;Parameters!$B$5,"Critical",IF(F29&lt;Parameters!$B$6,"Below Reorder",IF(F29&lt;=Parameters!$B$7,"Healthy","Excess")))</f>
        <v>Excess</v>
      </c>
      <c r="M29" s="14" t="str">
        <f aca="false">IF(L29="Critical","REPLENISH NOW",IF(L29="Below Reorder","REPLENISH",IF(L29="Healthy","MAINTAIN","REDUCE STOCK")))</f>
        <v>REDUCE STOCK</v>
      </c>
      <c r="N29" s="12" t="n">
        <v>16.98</v>
      </c>
    </row>
    <row r="30" customFormat="false" ht="15" hidden="false" customHeight="false" outlineLevel="0" collapsed="false">
      <c r="A30" s="10" t="s">
        <v>131</v>
      </c>
      <c r="B30" s="10" t="s">
        <v>126</v>
      </c>
      <c r="C30" s="10" t="s">
        <v>96</v>
      </c>
      <c r="D30" s="11" t="n">
        <v>160</v>
      </c>
      <c r="E30" s="12" t="n">
        <v>135.43</v>
      </c>
      <c r="F30" s="9" t="n">
        <f aca="false">IFERROR(D30/E30,0)</f>
        <v>1.18142213689729</v>
      </c>
      <c r="G30" s="9" t="n">
        <f aca="false">E30*Parameters!$B$6</f>
        <v>203.145</v>
      </c>
      <c r="H30" s="9" t="n">
        <f aca="false">MAX(0,E30*Parameters!$B$7-D30)</f>
        <v>246.29</v>
      </c>
      <c r="I30" s="11" t="n">
        <v>78</v>
      </c>
      <c r="J30" s="9" t="n">
        <f aca="false">I30-H30</f>
        <v>-168.29</v>
      </c>
      <c r="K30" s="13" t="n">
        <f aca="false">D30*N30</f>
        <v>3049.6</v>
      </c>
      <c r="L30" s="14" t="str">
        <f aca="false">IF(F30&lt;Parameters!$B$5,"Critical",IF(F30&lt;Parameters!$B$6,"Below Reorder",IF(F30&lt;=Parameters!$B$7,"Healthy","Excess")))</f>
        <v>Below Reorder</v>
      </c>
      <c r="M30" s="14" t="str">
        <f aca="false">IF(L30="Critical","REPLENISH NOW",IF(L30="Below Reorder","REPLENISH",IF(L30="Healthy","MAINTAIN","REDUCE STOCK")))</f>
        <v>REPLENISH</v>
      </c>
      <c r="N30" s="12" t="n">
        <v>19.06</v>
      </c>
    </row>
    <row r="31" customFormat="false" ht="15" hidden="false" customHeight="false" outlineLevel="0" collapsed="false">
      <c r="A31" s="10" t="s">
        <v>132</v>
      </c>
      <c r="B31" s="10" t="s">
        <v>126</v>
      </c>
      <c r="C31" s="10" t="s">
        <v>98</v>
      </c>
      <c r="D31" s="11" t="n">
        <v>53</v>
      </c>
      <c r="E31" s="12" t="n">
        <v>164.96</v>
      </c>
      <c r="F31" s="9" t="n">
        <f aca="false">IFERROR(D31/E31,0)</f>
        <v>0.321290009699321</v>
      </c>
      <c r="G31" s="9" t="n">
        <f aca="false">E31*Parameters!$B$6</f>
        <v>247.44</v>
      </c>
      <c r="H31" s="9" t="n">
        <f aca="false">MAX(0,E31*Parameters!$B$7-D31)</f>
        <v>441.88</v>
      </c>
      <c r="I31" s="11" t="n">
        <v>40</v>
      </c>
      <c r="J31" s="9" t="n">
        <f aca="false">I31-H31</f>
        <v>-401.88</v>
      </c>
      <c r="K31" s="13" t="n">
        <f aca="false">D31*N31</f>
        <v>3373.98</v>
      </c>
      <c r="L31" s="14" t="str">
        <f aca="false">IF(F31&lt;Parameters!$B$5,"Critical",IF(F31&lt;Parameters!$B$6,"Below Reorder",IF(F31&lt;=Parameters!$B$7,"Healthy","Excess")))</f>
        <v>Critical</v>
      </c>
      <c r="M31" s="14" t="str">
        <f aca="false">IF(L31="Critical","REPLENISH NOW",IF(L31="Below Reorder","REPLENISH",IF(L31="Healthy","MAINTAIN","REDUCE STOCK")))</f>
        <v>REPLENISH NOW</v>
      </c>
      <c r="N31" s="12" t="n">
        <v>63.66</v>
      </c>
    </row>
    <row r="32" customFormat="false" ht="15" hidden="false" customHeight="false" outlineLevel="0" collapsed="false">
      <c r="A32" s="10" t="s">
        <v>133</v>
      </c>
      <c r="B32" s="10" t="s">
        <v>126</v>
      </c>
      <c r="C32" s="10" t="s">
        <v>100</v>
      </c>
      <c r="D32" s="11" t="n">
        <v>218</v>
      </c>
      <c r="E32" s="12" t="n">
        <v>120.61</v>
      </c>
      <c r="F32" s="9" t="n">
        <f aca="false">IFERROR(D32/E32,0)</f>
        <v>1.80747865019484</v>
      </c>
      <c r="G32" s="9" t="n">
        <f aca="false">E32*Parameters!$B$6</f>
        <v>180.915</v>
      </c>
      <c r="H32" s="9" t="n">
        <f aca="false">MAX(0,E32*Parameters!$B$7-D32)</f>
        <v>143.83</v>
      </c>
      <c r="I32" s="11" t="n">
        <v>144</v>
      </c>
      <c r="J32" s="9" t="n">
        <f aca="false">I32-H32</f>
        <v>0.170000000000016</v>
      </c>
      <c r="K32" s="13" t="n">
        <f aca="false">D32*N32</f>
        <v>19702.84</v>
      </c>
      <c r="L32" s="14" t="str">
        <f aca="false">IF(F32&lt;Parameters!$B$5,"Critical",IF(F32&lt;Parameters!$B$6,"Below Reorder",IF(F32&lt;=Parameters!$B$7,"Healthy","Excess")))</f>
        <v>Healthy</v>
      </c>
      <c r="M32" s="14" t="str">
        <f aca="false">IF(L32="Critical","REPLENISH NOW",IF(L32="Below Reorder","REPLENISH",IF(L32="Healthy","MAINTAIN","REDUCE STOCK")))</f>
        <v>MAINTAIN</v>
      </c>
      <c r="N32" s="12" t="n">
        <v>90.38</v>
      </c>
    </row>
    <row r="33" customFormat="false" ht="15" hidden="false" customHeight="false" outlineLevel="0" collapsed="false">
      <c r="A33" s="10" t="s">
        <v>134</v>
      </c>
      <c r="B33" s="10" t="s">
        <v>126</v>
      </c>
      <c r="C33" s="10" t="s">
        <v>102</v>
      </c>
      <c r="D33" s="11" t="n">
        <v>62</v>
      </c>
      <c r="E33" s="12" t="n">
        <v>159.71</v>
      </c>
      <c r="F33" s="9" t="n">
        <f aca="false">IFERROR(D33/E33,0)</f>
        <v>0.388203619059545</v>
      </c>
      <c r="G33" s="9" t="n">
        <f aca="false">E33*Parameters!$B$6</f>
        <v>239.565</v>
      </c>
      <c r="H33" s="9" t="n">
        <f aca="false">MAX(0,E33*Parameters!$B$7-D33)</f>
        <v>417.13</v>
      </c>
      <c r="I33" s="11" t="n">
        <v>183</v>
      </c>
      <c r="J33" s="9" t="n">
        <f aca="false">I33-H33</f>
        <v>-234.13</v>
      </c>
      <c r="K33" s="13" t="n">
        <f aca="false">D33*N33</f>
        <v>2850.14</v>
      </c>
      <c r="L33" s="14" t="str">
        <f aca="false">IF(F33&lt;Parameters!$B$5,"Critical",IF(F33&lt;Parameters!$B$6,"Below Reorder",IF(F33&lt;=Parameters!$B$7,"Healthy","Excess")))</f>
        <v>Critical</v>
      </c>
      <c r="M33" s="14" t="str">
        <f aca="false">IF(L33="Critical","REPLENISH NOW",IF(L33="Below Reorder","REPLENISH",IF(L33="Healthy","MAINTAIN","REDUCE STOCK")))</f>
        <v>REPLENISH NOW</v>
      </c>
      <c r="N33" s="12" t="n">
        <v>45.97</v>
      </c>
    </row>
    <row r="34" customFormat="false" ht="15" hidden="false" customHeight="false" outlineLevel="0" collapsed="false">
      <c r="A34" s="10" t="s">
        <v>135</v>
      </c>
      <c r="B34" s="10" t="s">
        <v>126</v>
      </c>
      <c r="C34" s="10" t="s">
        <v>104</v>
      </c>
      <c r="D34" s="11" t="n">
        <v>419</v>
      </c>
      <c r="E34" s="12" t="n">
        <v>158.46</v>
      </c>
      <c r="F34" s="9" t="n">
        <f aca="false">IFERROR(D34/E34,0)</f>
        <v>2.64420042913038</v>
      </c>
      <c r="G34" s="9" t="n">
        <f aca="false">E34*Parameters!$B$6</f>
        <v>237.69</v>
      </c>
      <c r="H34" s="9" t="n">
        <f aca="false">MAX(0,E34*Parameters!$B$7-D34)</f>
        <v>56.38</v>
      </c>
      <c r="I34" s="11" t="n">
        <v>58</v>
      </c>
      <c r="J34" s="9" t="n">
        <f aca="false">I34-H34</f>
        <v>1.62</v>
      </c>
      <c r="K34" s="13" t="n">
        <f aca="false">D34*N34</f>
        <v>14028.12</v>
      </c>
      <c r="L34" s="14" t="str">
        <f aca="false">IF(F34&lt;Parameters!$B$5,"Critical",IF(F34&lt;Parameters!$B$6,"Below Reorder",IF(F34&lt;=Parameters!$B$7,"Healthy","Excess")))</f>
        <v>Healthy</v>
      </c>
      <c r="M34" s="14" t="str">
        <f aca="false">IF(L34="Critical","REPLENISH NOW",IF(L34="Below Reorder","REPLENISH",IF(L34="Healthy","MAINTAIN","REDUCE STOCK")))</f>
        <v>MAINTAIN</v>
      </c>
      <c r="N34" s="12" t="n">
        <v>33.48</v>
      </c>
    </row>
    <row r="35" customFormat="false" ht="15" hidden="false" customHeight="false" outlineLevel="0" collapsed="false">
      <c r="A35" s="10" t="s">
        <v>136</v>
      </c>
      <c r="B35" s="10" t="s">
        <v>126</v>
      </c>
      <c r="C35" s="10" t="s">
        <v>106</v>
      </c>
      <c r="D35" s="11" t="n">
        <v>156</v>
      </c>
      <c r="E35" s="12" t="n">
        <v>117.54</v>
      </c>
      <c r="F35" s="9" t="n">
        <f aca="false">IFERROR(D35/E35,0)</f>
        <v>1.32720775906075</v>
      </c>
      <c r="G35" s="9" t="n">
        <f aca="false">E35*Parameters!$B$6</f>
        <v>176.31</v>
      </c>
      <c r="H35" s="9" t="n">
        <f aca="false">MAX(0,E35*Parameters!$B$7-D35)</f>
        <v>196.62</v>
      </c>
      <c r="I35" s="11" t="n">
        <v>166</v>
      </c>
      <c r="J35" s="9" t="n">
        <f aca="false">I35-H35</f>
        <v>-30.62</v>
      </c>
      <c r="K35" s="13" t="n">
        <f aca="false">D35*N35</f>
        <v>15464.28</v>
      </c>
      <c r="L35" s="14" t="str">
        <f aca="false">IF(F35&lt;Parameters!$B$5,"Critical",IF(F35&lt;Parameters!$B$6,"Below Reorder",IF(F35&lt;=Parameters!$B$7,"Healthy","Excess")))</f>
        <v>Below Reorder</v>
      </c>
      <c r="M35" s="14" t="str">
        <f aca="false">IF(L35="Critical","REPLENISH NOW",IF(L35="Below Reorder","REPLENISH",IF(L35="Healthy","MAINTAIN","REDUCE STOCK")))</f>
        <v>REPLENISH</v>
      </c>
      <c r="N35" s="12" t="n">
        <v>99.13</v>
      </c>
    </row>
    <row r="36" customFormat="false" ht="15" hidden="false" customHeight="false" outlineLevel="0" collapsed="false">
      <c r="A36" s="10" t="s">
        <v>137</v>
      </c>
      <c r="B36" s="10" t="s">
        <v>126</v>
      </c>
      <c r="C36" s="10" t="s">
        <v>108</v>
      </c>
      <c r="D36" s="11" t="n">
        <v>193</v>
      </c>
      <c r="E36" s="12" t="n">
        <v>122.64</v>
      </c>
      <c r="F36" s="9" t="n">
        <f aca="false">IFERROR(D36/E36,0)</f>
        <v>1.5737116764514</v>
      </c>
      <c r="G36" s="9" t="n">
        <f aca="false">E36*Parameters!$B$6</f>
        <v>183.96</v>
      </c>
      <c r="H36" s="9" t="n">
        <f aca="false">MAX(0,E36*Parameters!$B$7-D36)</f>
        <v>174.92</v>
      </c>
      <c r="I36" s="11" t="n">
        <v>115</v>
      </c>
      <c r="J36" s="9" t="n">
        <f aca="false">I36-H36</f>
        <v>-59.92</v>
      </c>
      <c r="K36" s="13" t="n">
        <f aca="false">D36*N36</f>
        <v>10132.5</v>
      </c>
      <c r="L36" s="14" t="str">
        <f aca="false">IF(F36&lt;Parameters!$B$5,"Critical",IF(F36&lt;Parameters!$B$6,"Below Reorder",IF(F36&lt;=Parameters!$B$7,"Healthy","Excess")))</f>
        <v>Healthy</v>
      </c>
      <c r="M36" s="14" t="str">
        <f aca="false">IF(L36="Critical","REPLENISH NOW",IF(L36="Below Reorder","REPLENISH",IF(L36="Healthy","MAINTAIN","REDUCE STOCK")))</f>
        <v>MAINTAIN</v>
      </c>
      <c r="N36" s="12" t="n">
        <v>52.5</v>
      </c>
    </row>
    <row r="37" customFormat="false" ht="15" hidden="false" customHeight="false" outlineLevel="0" collapsed="false">
      <c r="A37" s="10" t="s">
        <v>138</v>
      </c>
      <c r="B37" s="10" t="s">
        <v>126</v>
      </c>
      <c r="C37" s="10" t="s">
        <v>110</v>
      </c>
      <c r="D37" s="11" t="n">
        <v>472</v>
      </c>
      <c r="E37" s="12" t="n">
        <v>137.79</v>
      </c>
      <c r="F37" s="9" t="n">
        <f aca="false">IFERROR(D37/E37,0)</f>
        <v>3.42550257638435</v>
      </c>
      <c r="G37" s="9" t="n">
        <f aca="false">E37*Parameters!$B$6</f>
        <v>206.685</v>
      </c>
      <c r="H37" s="9" t="n">
        <f aca="false">MAX(0,E37*Parameters!$B$7-D37)</f>
        <v>0</v>
      </c>
      <c r="I37" s="11" t="n">
        <v>160</v>
      </c>
      <c r="J37" s="9" t="n">
        <f aca="false">I37-H37</f>
        <v>160</v>
      </c>
      <c r="K37" s="13" t="n">
        <f aca="false">D37*N37</f>
        <v>31746.72</v>
      </c>
      <c r="L37" s="14" t="str">
        <f aca="false">IF(F37&lt;Parameters!$B$5,"Critical",IF(F37&lt;Parameters!$B$6,"Below Reorder",IF(F37&lt;=Parameters!$B$7,"Healthy","Excess")))</f>
        <v>Excess</v>
      </c>
      <c r="M37" s="14" t="str">
        <f aca="false">IF(L37="Critical","REPLENISH NOW",IF(L37="Below Reorder","REPLENISH",IF(L37="Healthy","MAINTAIN","REDUCE STOCK")))</f>
        <v>REDUCE STOCK</v>
      </c>
      <c r="N37" s="12" t="n">
        <v>67.26</v>
      </c>
    </row>
    <row r="38" customFormat="false" ht="15" hidden="false" customHeight="false" outlineLevel="0" collapsed="false">
      <c r="A38" s="10" t="s">
        <v>139</v>
      </c>
      <c r="B38" s="10" t="s">
        <v>126</v>
      </c>
      <c r="C38" s="10" t="s">
        <v>112</v>
      </c>
      <c r="D38" s="11" t="n">
        <v>342</v>
      </c>
      <c r="E38" s="12" t="n">
        <v>136.96</v>
      </c>
      <c r="F38" s="9" t="n">
        <f aca="false">IFERROR(D38/E38,0)</f>
        <v>2.49707943925234</v>
      </c>
      <c r="G38" s="9" t="n">
        <f aca="false">E38*Parameters!$B$6</f>
        <v>205.44</v>
      </c>
      <c r="H38" s="9" t="n">
        <f aca="false">MAX(0,E38*Parameters!$B$7-D38)</f>
        <v>68.88</v>
      </c>
      <c r="I38" s="11" t="n">
        <v>171</v>
      </c>
      <c r="J38" s="9" t="n">
        <f aca="false">I38-H38</f>
        <v>102.12</v>
      </c>
      <c r="K38" s="13" t="n">
        <f aca="false">D38*N38</f>
        <v>24046.02</v>
      </c>
      <c r="L38" s="14" t="str">
        <f aca="false">IF(F38&lt;Parameters!$B$5,"Critical",IF(F38&lt;Parameters!$B$6,"Below Reorder",IF(F38&lt;=Parameters!$B$7,"Healthy","Excess")))</f>
        <v>Healthy</v>
      </c>
      <c r="M38" s="14" t="str">
        <f aca="false">IF(L38="Critical","REPLENISH NOW",IF(L38="Below Reorder","REPLENISH",IF(L38="Healthy","MAINTAIN","REDUCE STOCK")))</f>
        <v>MAINTAIN</v>
      </c>
      <c r="N38" s="12" t="n">
        <v>70.31</v>
      </c>
    </row>
    <row r="39" customFormat="false" ht="15" hidden="false" customHeight="false" outlineLevel="0" collapsed="false">
      <c r="A39" s="10" t="s">
        <v>140</v>
      </c>
      <c r="B39" s="10" t="s">
        <v>126</v>
      </c>
      <c r="C39" s="10" t="s">
        <v>114</v>
      </c>
      <c r="D39" s="11" t="n">
        <v>433</v>
      </c>
      <c r="E39" s="12" t="n">
        <v>123.21</v>
      </c>
      <c r="F39" s="9" t="n">
        <f aca="false">IFERROR(D39/E39,0)</f>
        <v>3.51432513594676</v>
      </c>
      <c r="G39" s="9" t="n">
        <f aca="false">E39*Parameters!$B$6</f>
        <v>184.815</v>
      </c>
      <c r="H39" s="9" t="n">
        <f aca="false">MAX(0,E39*Parameters!$B$7-D39)</f>
        <v>0</v>
      </c>
      <c r="I39" s="11" t="n">
        <v>190</v>
      </c>
      <c r="J39" s="9" t="n">
        <f aca="false">I39-H39</f>
        <v>190</v>
      </c>
      <c r="K39" s="13" t="n">
        <f aca="false">D39*N39</f>
        <v>29244.82</v>
      </c>
      <c r="L39" s="14" t="str">
        <f aca="false">IF(F39&lt;Parameters!$B$5,"Critical",IF(F39&lt;Parameters!$B$6,"Below Reorder",IF(F39&lt;=Parameters!$B$7,"Healthy","Excess")))</f>
        <v>Excess</v>
      </c>
      <c r="M39" s="14" t="str">
        <f aca="false">IF(L39="Critical","REPLENISH NOW",IF(L39="Below Reorder","REPLENISH",IF(L39="Healthy","MAINTAIN","REDUCE STOCK")))</f>
        <v>REDUCE STOCK</v>
      </c>
      <c r="N39" s="12" t="n">
        <v>67.54</v>
      </c>
    </row>
    <row r="40" customFormat="false" ht="15" hidden="false" customHeight="false" outlineLevel="0" collapsed="false">
      <c r="A40" s="10" t="s">
        <v>141</v>
      </c>
      <c r="B40" s="10" t="s">
        <v>126</v>
      </c>
      <c r="C40" s="10" t="s">
        <v>116</v>
      </c>
      <c r="D40" s="11" t="n">
        <v>258</v>
      </c>
      <c r="E40" s="12" t="n">
        <v>171.68</v>
      </c>
      <c r="F40" s="9" t="n">
        <f aca="false">IFERROR(D40/E40,0)</f>
        <v>1.50279589934762</v>
      </c>
      <c r="G40" s="9" t="n">
        <f aca="false">E40*Parameters!$B$6</f>
        <v>257.52</v>
      </c>
      <c r="H40" s="9" t="n">
        <f aca="false">MAX(0,E40*Parameters!$B$7-D40)</f>
        <v>257.04</v>
      </c>
      <c r="I40" s="11" t="n">
        <v>197</v>
      </c>
      <c r="J40" s="9" t="n">
        <f aca="false">I40-H40</f>
        <v>-60.04</v>
      </c>
      <c r="K40" s="13" t="n">
        <f aca="false">D40*N40</f>
        <v>10655.4</v>
      </c>
      <c r="L40" s="14" t="str">
        <f aca="false">IF(F40&lt;Parameters!$B$5,"Critical",IF(F40&lt;Parameters!$B$6,"Below Reorder",IF(F40&lt;=Parameters!$B$7,"Healthy","Excess")))</f>
        <v>Healthy</v>
      </c>
      <c r="M40" s="14" t="str">
        <f aca="false">IF(L40="Critical","REPLENISH NOW",IF(L40="Below Reorder","REPLENISH",IF(L40="Healthy","MAINTAIN","REDUCE STOCK")))</f>
        <v>MAINTAIN</v>
      </c>
      <c r="N40" s="12" t="n">
        <v>41.3</v>
      </c>
    </row>
    <row r="41" customFormat="false" ht="15" hidden="false" customHeight="false" outlineLevel="0" collapsed="false">
      <c r="A41" s="10" t="s">
        <v>142</v>
      </c>
      <c r="B41" s="10" t="s">
        <v>126</v>
      </c>
      <c r="C41" s="10" t="s">
        <v>118</v>
      </c>
      <c r="D41" s="11" t="n">
        <v>236</v>
      </c>
      <c r="E41" s="12" t="n">
        <v>150.07</v>
      </c>
      <c r="F41" s="9" t="n">
        <f aca="false">IFERROR(D41/E41,0)</f>
        <v>1.57259945358833</v>
      </c>
      <c r="G41" s="9" t="n">
        <f aca="false">E41*Parameters!$B$6</f>
        <v>225.105</v>
      </c>
      <c r="H41" s="9" t="n">
        <f aca="false">MAX(0,E41*Parameters!$B$7-D41)</f>
        <v>214.21</v>
      </c>
      <c r="I41" s="11" t="n">
        <v>91</v>
      </c>
      <c r="J41" s="9" t="n">
        <f aca="false">I41-H41</f>
        <v>-123.21</v>
      </c>
      <c r="K41" s="13" t="n">
        <f aca="false">D41*N41</f>
        <v>11287.88</v>
      </c>
      <c r="L41" s="14" t="str">
        <f aca="false">IF(F41&lt;Parameters!$B$5,"Critical",IF(F41&lt;Parameters!$B$6,"Below Reorder",IF(F41&lt;=Parameters!$B$7,"Healthy","Excess")))</f>
        <v>Healthy</v>
      </c>
      <c r="M41" s="14" t="str">
        <f aca="false">IF(L41="Critical","REPLENISH NOW",IF(L41="Below Reorder","REPLENISH",IF(L41="Healthy","MAINTAIN","REDUCE STOCK")))</f>
        <v>MAINTAIN</v>
      </c>
      <c r="N41" s="12" t="n">
        <v>47.83</v>
      </c>
    </row>
    <row r="42" customFormat="false" ht="15" hidden="false" customHeight="false" outlineLevel="0" collapsed="false">
      <c r="A42" s="10" t="s">
        <v>143</v>
      </c>
      <c r="B42" s="10" t="s">
        <v>126</v>
      </c>
      <c r="C42" s="10" t="s">
        <v>120</v>
      </c>
      <c r="D42" s="11" t="n">
        <v>151</v>
      </c>
      <c r="E42" s="12" t="n">
        <v>149.89</v>
      </c>
      <c r="F42" s="9" t="n">
        <f aca="false">IFERROR(D42/E42,0)</f>
        <v>1.00740543064914</v>
      </c>
      <c r="G42" s="9" t="n">
        <f aca="false">E42*Parameters!$B$6</f>
        <v>224.835</v>
      </c>
      <c r="H42" s="9" t="n">
        <f aca="false">MAX(0,E42*Parameters!$B$7-D42)</f>
        <v>298.67</v>
      </c>
      <c r="I42" s="11" t="n">
        <v>147</v>
      </c>
      <c r="J42" s="9" t="n">
        <f aca="false">I42-H42</f>
        <v>-151.67</v>
      </c>
      <c r="K42" s="13" t="n">
        <f aca="false">D42*N42</f>
        <v>4958.84</v>
      </c>
      <c r="L42" s="14" t="str">
        <f aca="false">IF(F42&lt;Parameters!$B$5,"Critical",IF(F42&lt;Parameters!$B$6,"Below Reorder",IF(F42&lt;=Parameters!$B$7,"Healthy","Excess")))</f>
        <v>Below Reorder</v>
      </c>
      <c r="M42" s="14" t="str">
        <f aca="false">IF(L42="Critical","REPLENISH NOW",IF(L42="Below Reorder","REPLENISH",IF(L42="Healthy","MAINTAIN","REDUCE STOCK")))</f>
        <v>REPLENISH</v>
      </c>
      <c r="N42" s="12" t="n">
        <v>32.84</v>
      </c>
    </row>
    <row r="43" customFormat="false" ht="15" hidden="false" customHeight="false" outlineLevel="0" collapsed="false">
      <c r="A43" s="10" t="s">
        <v>144</v>
      </c>
      <c r="B43" s="10" t="s">
        <v>126</v>
      </c>
      <c r="C43" s="10" t="s">
        <v>122</v>
      </c>
      <c r="D43" s="11" t="n">
        <v>409</v>
      </c>
      <c r="E43" s="12" t="n">
        <v>133.07</v>
      </c>
      <c r="F43" s="9" t="n">
        <f aca="false">IFERROR(D43/E43,0)</f>
        <v>3.07357030134516</v>
      </c>
      <c r="G43" s="9" t="n">
        <f aca="false">E43*Parameters!$B$6</f>
        <v>199.605</v>
      </c>
      <c r="H43" s="9" t="n">
        <f aca="false">MAX(0,E43*Parameters!$B$7-D43)</f>
        <v>0</v>
      </c>
      <c r="I43" s="11" t="n">
        <v>49</v>
      </c>
      <c r="J43" s="9" t="n">
        <f aca="false">I43-H43</f>
        <v>49</v>
      </c>
      <c r="K43" s="13" t="n">
        <f aca="false">D43*N43</f>
        <v>22196.43</v>
      </c>
      <c r="L43" s="14" t="str">
        <f aca="false">IF(F43&lt;Parameters!$B$5,"Critical",IF(F43&lt;Parameters!$B$6,"Below Reorder",IF(F43&lt;=Parameters!$B$7,"Healthy","Excess")))</f>
        <v>Excess</v>
      </c>
      <c r="M43" s="14" t="str">
        <f aca="false">IF(L43="Critical","REPLENISH NOW",IF(L43="Below Reorder","REPLENISH",IF(L43="Healthy","MAINTAIN","REDUCE STOCK")))</f>
        <v>REDUCE STOCK</v>
      </c>
      <c r="N43" s="12" t="n">
        <v>54.27</v>
      </c>
    </row>
    <row r="44" customFormat="false" ht="15" hidden="false" customHeight="false" outlineLevel="0" collapsed="false">
      <c r="A44" s="10" t="s">
        <v>145</v>
      </c>
      <c r="B44" s="10" t="s">
        <v>126</v>
      </c>
      <c r="C44" s="10" t="s">
        <v>124</v>
      </c>
      <c r="D44" s="11" t="n">
        <v>284</v>
      </c>
      <c r="E44" s="12" t="n">
        <v>147.79</v>
      </c>
      <c r="F44" s="9" t="n">
        <f aca="false">IFERROR(D44/E44,0)</f>
        <v>1.92164557818526</v>
      </c>
      <c r="G44" s="9" t="n">
        <f aca="false">E44*Parameters!$B$6</f>
        <v>221.685</v>
      </c>
      <c r="H44" s="9" t="n">
        <f aca="false">MAX(0,E44*Parameters!$B$7-D44)</f>
        <v>159.37</v>
      </c>
      <c r="I44" s="11" t="n">
        <v>172</v>
      </c>
      <c r="J44" s="9" t="n">
        <f aca="false">I44-H44</f>
        <v>12.63</v>
      </c>
      <c r="K44" s="13" t="n">
        <f aca="false">D44*N44</f>
        <v>21566.96</v>
      </c>
      <c r="L44" s="14" t="str">
        <f aca="false">IF(F44&lt;Parameters!$B$5,"Critical",IF(F44&lt;Parameters!$B$6,"Below Reorder",IF(F44&lt;=Parameters!$B$7,"Healthy","Excess")))</f>
        <v>Healthy</v>
      </c>
      <c r="M44" s="14" t="str">
        <f aca="false">IF(L44="Critical","REPLENISH NOW",IF(L44="Below Reorder","REPLENISH",IF(L44="Healthy","MAINTAIN","REDUCE STOCK")))</f>
        <v>MAINTAIN</v>
      </c>
      <c r="N44" s="12" t="n">
        <v>75.94</v>
      </c>
    </row>
    <row r="45" customFormat="false" ht="15" hidden="false" customHeight="false" outlineLevel="0" collapsed="false">
      <c r="A45" s="10" t="s">
        <v>146</v>
      </c>
      <c r="B45" s="10" t="s">
        <v>147</v>
      </c>
      <c r="C45" s="10" t="s">
        <v>86</v>
      </c>
      <c r="D45" s="11" t="n">
        <v>138</v>
      </c>
      <c r="E45" s="12" t="n">
        <v>102</v>
      </c>
      <c r="F45" s="9" t="n">
        <f aca="false">IFERROR(D45/E45,0)</f>
        <v>1.35294117647059</v>
      </c>
      <c r="G45" s="9" t="n">
        <f aca="false">E45*Parameters!$B$6</f>
        <v>153</v>
      </c>
      <c r="H45" s="9" t="n">
        <f aca="false">MAX(0,E45*Parameters!$B$7-D45)</f>
        <v>168</v>
      </c>
      <c r="I45" s="11" t="n">
        <v>65</v>
      </c>
      <c r="J45" s="9" t="n">
        <f aca="false">I45-H45</f>
        <v>-103</v>
      </c>
      <c r="K45" s="13" t="n">
        <f aca="false">D45*N45</f>
        <v>7275.36</v>
      </c>
      <c r="L45" s="14" t="str">
        <f aca="false">IF(F45&lt;Parameters!$B$5,"Critical",IF(F45&lt;Parameters!$B$6,"Below Reorder",IF(F45&lt;=Parameters!$B$7,"Healthy","Excess")))</f>
        <v>Below Reorder</v>
      </c>
      <c r="M45" s="14" t="str">
        <f aca="false">IF(L45="Critical","REPLENISH NOW",IF(L45="Below Reorder","REPLENISH",IF(L45="Healthy","MAINTAIN","REDUCE STOCK")))</f>
        <v>REPLENISH</v>
      </c>
      <c r="N45" s="12" t="n">
        <v>52.72</v>
      </c>
    </row>
    <row r="46" customFormat="false" ht="15" hidden="false" customHeight="false" outlineLevel="0" collapsed="false">
      <c r="A46" s="10" t="s">
        <v>148</v>
      </c>
      <c r="B46" s="10" t="s">
        <v>147</v>
      </c>
      <c r="C46" s="10" t="s">
        <v>88</v>
      </c>
      <c r="D46" s="11" t="n">
        <v>388</v>
      </c>
      <c r="E46" s="12" t="n">
        <v>175.29</v>
      </c>
      <c r="F46" s="9" t="n">
        <f aca="false">IFERROR(D46/E46,0)</f>
        <v>2.21347481316675</v>
      </c>
      <c r="G46" s="9" t="n">
        <f aca="false">E46*Parameters!$B$6</f>
        <v>262.935</v>
      </c>
      <c r="H46" s="9" t="n">
        <f aca="false">MAX(0,E46*Parameters!$B$7-D46)</f>
        <v>137.87</v>
      </c>
      <c r="I46" s="11" t="n">
        <v>102</v>
      </c>
      <c r="J46" s="9" t="n">
        <f aca="false">I46-H46</f>
        <v>-35.87</v>
      </c>
      <c r="K46" s="13" t="n">
        <f aca="false">D46*N46</f>
        <v>15388.08</v>
      </c>
      <c r="L46" s="14" t="str">
        <f aca="false">IF(F46&lt;Parameters!$B$5,"Critical",IF(F46&lt;Parameters!$B$6,"Below Reorder",IF(F46&lt;=Parameters!$B$7,"Healthy","Excess")))</f>
        <v>Healthy</v>
      </c>
      <c r="M46" s="14" t="str">
        <f aca="false">IF(L46="Critical","REPLENISH NOW",IF(L46="Below Reorder","REPLENISH",IF(L46="Healthy","MAINTAIN","REDUCE STOCK")))</f>
        <v>MAINTAIN</v>
      </c>
      <c r="N46" s="12" t="n">
        <v>39.66</v>
      </c>
    </row>
    <row r="47" customFormat="false" ht="15" hidden="false" customHeight="false" outlineLevel="0" collapsed="false">
      <c r="A47" s="10" t="s">
        <v>149</v>
      </c>
      <c r="B47" s="10" t="s">
        <v>147</v>
      </c>
      <c r="C47" s="10" t="s">
        <v>90</v>
      </c>
      <c r="D47" s="11" t="n">
        <v>112</v>
      </c>
      <c r="E47" s="12" t="n">
        <v>110.32</v>
      </c>
      <c r="F47" s="9" t="n">
        <f aca="false">IFERROR(D47/E47,0)</f>
        <v>1.01522842639594</v>
      </c>
      <c r="G47" s="9" t="n">
        <f aca="false">E47*Parameters!$B$6</f>
        <v>165.48</v>
      </c>
      <c r="H47" s="9" t="n">
        <f aca="false">MAX(0,E47*Parameters!$B$7-D47)</f>
        <v>218.96</v>
      </c>
      <c r="I47" s="11" t="n">
        <v>169</v>
      </c>
      <c r="J47" s="9" t="n">
        <f aca="false">I47-H47</f>
        <v>-49.96</v>
      </c>
      <c r="K47" s="13" t="n">
        <f aca="false">D47*N47</f>
        <v>4702.88</v>
      </c>
      <c r="L47" s="14" t="str">
        <f aca="false">IF(F47&lt;Parameters!$B$5,"Critical",IF(F47&lt;Parameters!$B$6,"Below Reorder",IF(F47&lt;=Parameters!$B$7,"Healthy","Excess")))</f>
        <v>Below Reorder</v>
      </c>
      <c r="M47" s="14" t="str">
        <f aca="false">IF(L47="Critical","REPLENISH NOW",IF(L47="Below Reorder","REPLENISH",IF(L47="Healthy","MAINTAIN","REDUCE STOCK")))</f>
        <v>REPLENISH</v>
      </c>
      <c r="N47" s="12" t="n">
        <v>41.99</v>
      </c>
    </row>
    <row r="48" customFormat="false" ht="15" hidden="false" customHeight="false" outlineLevel="0" collapsed="false">
      <c r="A48" s="10" t="s">
        <v>150</v>
      </c>
      <c r="B48" s="10" t="s">
        <v>147</v>
      </c>
      <c r="C48" s="10" t="s">
        <v>92</v>
      </c>
      <c r="D48" s="11" t="n">
        <v>415</v>
      </c>
      <c r="E48" s="12" t="n">
        <v>138.32</v>
      </c>
      <c r="F48" s="9" t="n">
        <f aca="false">IFERROR(D48/E48,0)</f>
        <v>3.00028918449971</v>
      </c>
      <c r="G48" s="9" t="n">
        <f aca="false">E48*Parameters!$B$6</f>
        <v>207.48</v>
      </c>
      <c r="H48" s="9" t="n">
        <f aca="false">MAX(0,E48*Parameters!$B$7-D48)</f>
        <v>0</v>
      </c>
      <c r="I48" s="11" t="n">
        <v>79</v>
      </c>
      <c r="J48" s="9" t="n">
        <f aca="false">I48-H48</f>
        <v>79</v>
      </c>
      <c r="K48" s="13" t="n">
        <f aca="false">D48*N48</f>
        <v>30191.25</v>
      </c>
      <c r="L48" s="14" t="str">
        <f aca="false">IF(F48&lt;Parameters!$B$5,"Critical",IF(F48&lt;Parameters!$B$6,"Below Reorder",IF(F48&lt;=Parameters!$B$7,"Healthy","Excess")))</f>
        <v>Excess</v>
      </c>
      <c r="M48" s="14" t="str">
        <f aca="false">IF(L48="Critical","REPLENISH NOW",IF(L48="Below Reorder","REPLENISH",IF(L48="Healthy","MAINTAIN","REDUCE STOCK")))</f>
        <v>REDUCE STOCK</v>
      </c>
      <c r="N48" s="12" t="n">
        <v>72.75</v>
      </c>
    </row>
    <row r="49" customFormat="false" ht="15" hidden="false" customHeight="false" outlineLevel="0" collapsed="false">
      <c r="A49" s="10" t="s">
        <v>151</v>
      </c>
      <c r="B49" s="10" t="s">
        <v>147</v>
      </c>
      <c r="C49" s="10" t="s">
        <v>94</v>
      </c>
      <c r="D49" s="11" t="n">
        <v>411</v>
      </c>
      <c r="E49" s="12" t="n">
        <v>117.18</v>
      </c>
      <c r="F49" s="9" t="n">
        <f aca="false">IFERROR(D49/E49,0)</f>
        <v>3.50742447516641</v>
      </c>
      <c r="G49" s="9" t="n">
        <f aca="false">E49*Parameters!$B$6</f>
        <v>175.77</v>
      </c>
      <c r="H49" s="9" t="n">
        <f aca="false">MAX(0,E49*Parameters!$B$7-D49)</f>
        <v>0</v>
      </c>
      <c r="I49" s="11" t="n">
        <v>200</v>
      </c>
      <c r="J49" s="9" t="n">
        <f aca="false">I49-H49</f>
        <v>200</v>
      </c>
      <c r="K49" s="13" t="n">
        <f aca="false">D49*N49</f>
        <v>33767.76</v>
      </c>
      <c r="L49" s="14" t="str">
        <f aca="false">IF(F49&lt;Parameters!$B$5,"Critical",IF(F49&lt;Parameters!$B$6,"Below Reorder",IF(F49&lt;=Parameters!$B$7,"Healthy","Excess")))</f>
        <v>Excess</v>
      </c>
      <c r="M49" s="14" t="str">
        <f aca="false">IF(L49="Critical","REPLENISH NOW",IF(L49="Below Reorder","REPLENISH",IF(L49="Healthy","MAINTAIN","REDUCE STOCK")))</f>
        <v>REDUCE STOCK</v>
      </c>
      <c r="N49" s="12" t="n">
        <v>82.16</v>
      </c>
    </row>
    <row r="50" customFormat="false" ht="15" hidden="false" customHeight="false" outlineLevel="0" collapsed="false">
      <c r="A50" s="10" t="s">
        <v>152</v>
      </c>
      <c r="B50" s="10" t="s">
        <v>147</v>
      </c>
      <c r="C50" s="10" t="s">
        <v>96</v>
      </c>
      <c r="D50" s="11" t="n">
        <v>451</v>
      </c>
      <c r="E50" s="12" t="n">
        <v>125.54</v>
      </c>
      <c r="F50" s="9" t="n">
        <f aca="false">IFERROR(D50/E50,0)</f>
        <v>3.59248048430779</v>
      </c>
      <c r="G50" s="9" t="n">
        <f aca="false">E50*Parameters!$B$6</f>
        <v>188.31</v>
      </c>
      <c r="H50" s="9" t="n">
        <f aca="false">MAX(0,E50*Parameters!$B$7-D50)</f>
        <v>0</v>
      </c>
      <c r="I50" s="11" t="n">
        <v>200</v>
      </c>
      <c r="J50" s="9" t="n">
        <f aca="false">I50-H50</f>
        <v>200</v>
      </c>
      <c r="K50" s="13" t="n">
        <f aca="false">D50*N50</f>
        <v>10999.89</v>
      </c>
      <c r="L50" s="14" t="str">
        <f aca="false">IF(F50&lt;Parameters!$B$5,"Critical",IF(F50&lt;Parameters!$B$6,"Below Reorder",IF(F50&lt;=Parameters!$B$7,"Healthy","Excess")))</f>
        <v>Excess</v>
      </c>
      <c r="M50" s="14" t="str">
        <f aca="false">IF(L50="Critical","REPLENISH NOW",IF(L50="Below Reorder","REPLENISH",IF(L50="Healthy","MAINTAIN","REDUCE STOCK")))</f>
        <v>REDUCE STOCK</v>
      </c>
      <c r="N50" s="12" t="n">
        <v>24.39</v>
      </c>
    </row>
    <row r="51" customFormat="false" ht="15" hidden="false" customHeight="false" outlineLevel="0" collapsed="false">
      <c r="A51" s="10" t="s">
        <v>153</v>
      </c>
      <c r="B51" s="10" t="s">
        <v>147</v>
      </c>
      <c r="C51" s="10" t="s">
        <v>98</v>
      </c>
      <c r="D51" s="11" t="n">
        <v>108</v>
      </c>
      <c r="E51" s="12" t="n">
        <v>122.21</v>
      </c>
      <c r="F51" s="9" t="n">
        <f aca="false">IFERROR(D51/E51,0)</f>
        <v>0.883724736109975</v>
      </c>
      <c r="G51" s="9" t="n">
        <f aca="false">E51*Parameters!$B$6</f>
        <v>183.315</v>
      </c>
      <c r="H51" s="9" t="n">
        <f aca="false">MAX(0,E51*Parameters!$B$7-D51)</f>
        <v>258.63</v>
      </c>
      <c r="I51" s="11" t="n">
        <v>74</v>
      </c>
      <c r="J51" s="9" t="n">
        <f aca="false">I51-H51</f>
        <v>-184.63</v>
      </c>
      <c r="K51" s="13" t="n">
        <f aca="false">D51*N51</f>
        <v>5925.96</v>
      </c>
      <c r="L51" s="14" t="str">
        <f aca="false">IF(F51&lt;Parameters!$B$5,"Critical",IF(F51&lt;Parameters!$B$6,"Below Reorder",IF(F51&lt;=Parameters!$B$7,"Healthy","Excess")))</f>
        <v>Critical</v>
      </c>
      <c r="M51" s="14" t="str">
        <f aca="false">IF(L51="Critical","REPLENISH NOW",IF(L51="Below Reorder","REPLENISH",IF(L51="Healthy","MAINTAIN","REDUCE STOCK")))</f>
        <v>REPLENISH NOW</v>
      </c>
      <c r="N51" s="12" t="n">
        <v>54.87</v>
      </c>
    </row>
    <row r="52" customFormat="false" ht="15" hidden="false" customHeight="false" outlineLevel="0" collapsed="false">
      <c r="A52" s="10" t="s">
        <v>154</v>
      </c>
      <c r="B52" s="10" t="s">
        <v>147</v>
      </c>
      <c r="C52" s="10" t="s">
        <v>100</v>
      </c>
      <c r="D52" s="11" t="n">
        <v>103</v>
      </c>
      <c r="E52" s="12" t="n">
        <v>138.64</v>
      </c>
      <c r="F52" s="9" t="n">
        <f aca="false">IFERROR(D52/E52,0)</f>
        <v>0.742931332948644</v>
      </c>
      <c r="G52" s="9" t="n">
        <f aca="false">E52*Parameters!$B$6</f>
        <v>207.96</v>
      </c>
      <c r="H52" s="9" t="n">
        <f aca="false">MAX(0,E52*Parameters!$B$7-D52)</f>
        <v>312.92</v>
      </c>
      <c r="I52" s="11" t="n">
        <v>130</v>
      </c>
      <c r="J52" s="9" t="n">
        <f aca="false">I52-H52</f>
        <v>-182.92</v>
      </c>
      <c r="K52" s="13" t="n">
        <f aca="false">D52*N52</f>
        <v>5828.77</v>
      </c>
      <c r="L52" s="14" t="str">
        <f aca="false">IF(F52&lt;Parameters!$B$5,"Critical",IF(F52&lt;Parameters!$B$6,"Below Reorder",IF(F52&lt;=Parameters!$B$7,"Healthy","Excess")))</f>
        <v>Critical</v>
      </c>
      <c r="M52" s="14" t="str">
        <f aca="false">IF(L52="Critical","REPLENISH NOW",IF(L52="Below Reorder","REPLENISH",IF(L52="Healthy","MAINTAIN","REDUCE STOCK")))</f>
        <v>REPLENISH NOW</v>
      </c>
      <c r="N52" s="12" t="n">
        <v>56.59</v>
      </c>
    </row>
    <row r="53" customFormat="false" ht="15" hidden="false" customHeight="false" outlineLevel="0" collapsed="false">
      <c r="A53" s="10" t="s">
        <v>155</v>
      </c>
      <c r="B53" s="10" t="s">
        <v>147</v>
      </c>
      <c r="C53" s="10" t="s">
        <v>102</v>
      </c>
      <c r="D53" s="11" t="n">
        <v>496</v>
      </c>
      <c r="E53" s="12" t="n">
        <v>138.61</v>
      </c>
      <c r="F53" s="9" t="n">
        <f aca="false">IFERROR(D53/E53,0)</f>
        <v>3.57838539787894</v>
      </c>
      <c r="G53" s="9" t="n">
        <f aca="false">E53*Parameters!$B$6</f>
        <v>207.915</v>
      </c>
      <c r="H53" s="9" t="n">
        <f aca="false">MAX(0,E53*Parameters!$B$7-D53)</f>
        <v>0</v>
      </c>
      <c r="I53" s="11" t="n">
        <v>58</v>
      </c>
      <c r="J53" s="9" t="n">
        <f aca="false">I53-H53</f>
        <v>58</v>
      </c>
      <c r="K53" s="13" t="n">
        <f aca="false">D53*N53</f>
        <v>27101.44</v>
      </c>
      <c r="L53" s="14" t="str">
        <f aca="false">IF(F53&lt;Parameters!$B$5,"Critical",IF(F53&lt;Parameters!$B$6,"Below Reorder",IF(F53&lt;=Parameters!$B$7,"Healthy","Excess")))</f>
        <v>Excess</v>
      </c>
      <c r="M53" s="14" t="str">
        <f aca="false">IF(L53="Critical","REPLENISH NOW",IF(L53="Below Reorder","REPLENISH",IF(L53="Healthy","MAINTAIN","REDUCE STOCK")))</f>
        <v>REDUCE STOCK</v>
      </c>
      <c r="N53" s="12" t="n">
        <v>54.64</v>
      </c>
    </row>
    <row r="54" customFormat="false" ht="15" hidden="false" customHeight="false" outlineLevel="0" collapsed="false">
      <c r="A54" s="10" t="s">
        <v>156</v>
      </c>
      <c r="B54" s="10" t="s">
        <v>147</v>
      </c>
      <c r="C54" s="10" t="s">
        <v>104</v>
      </c>
      <c r="D54" s="11" t="n">
        <v>413</v>
      </c>
      <c r="E54" s="12" t="n">
        <v>142.71</v>
      </c>
      <c r="F54" s="9" t="n">
        <f aca="false">IFERROR(D54/E54,0)</f>
        <v>2.89398080022423</v>
      </c>
      <c r="G54" s="9" t="n">
        <f aca="false">E54*Parameters!$B$6</f>
        <v>214.065</v>
      </c>
      <c r="H54" s="9" t="n">
        <f aca="false">MAX(0,E54*Parameters!$B$7-D54)</f>
        <v>15.13</v>
      </c>
      <c r="I54" s="11" t="n">
        <v>186</v>
      </c>
      <c r="J54" s="9" t="n">
        <f aca="false">I54-H54</f>
        <v>170.87</v>
      </c>
      <c r="K54" s="13" t="n">
        <f aca="false">D54*N54</f>
        <v>33399.31</v>
      </c>
      <c r="L54" s="14" t="str">
        <f aca="false">IF(F54&lt;Parameters!$B$5,"Critical",IF(F54&lt;Parameters!$B$6,"Below Reorder",IF(F54&lt;=Parameters!$B$7,"Healthy","Excess")))</f>
        <v>Healthy</v>
      </c>
      <c r="M54" s="14" t="str">
        <f aca="false">IF(L54="Critical","REPLENISH NOW",IF(L54="Below Reorder","REPLENISH",IF(L54="Healthy","MAINTAIN","REDUCE STOCK")))</f>
        <v>MAINTAIN</v>
      </c>
      <c r="N54" s="12" t="n">
        <v>80.87</v>
      </c>
    </row>
    <row r="55" customFormat="false" ht="15" hidden="false" customHeight="false" outlineLevel="0" collapsed="false">
      <c r="A55" s="10" t="s">
        <v>157</v>
      </c>
      <c r="B55" s="10" t="s">
        <v>147</v>
      </c>
      <c r="C55" s="10" t="s">
        <v>106</v>
      </c>
      <c r="D55" s="11" t="n">
        <v>137</v>
      </c>
      <c r="E55" s="12" t="n">
        <v>157.36</v>
      </c>
      <c r="F55" s="9" t="n">
        <f aca="false">IFERROR(D55/E55,0)</f>
        <v>0.87061514997458</v>
      </c>
      <c r="G55" s="9" t="n">
        <f aca="false">E55*Parameters!$B$6</f>
        <v>236.04</v>
      </c>
      <c r="H55" s="9" t="n">
        <f aca="false">MAX(0,E55*Parameters!$B$7-D55)</f>
        <v>335.08</v>
      </c>
      <c r="I55" s="11" t="n">
        <v>46</v>
      </c>
      <c r="J55" s="9" t="n">
        <f aca="false">I55-H55</f>
        <v>-289.08</v>
      </c>
      <c r="K55" s="13" t="n">
        <f aca="false">D55*N55</f>
        <v>5264.91</v>
      </c>
      <c r="L55" s="14" t="str">
        <f aca="false">IF(F55&lt;Parameters!$B$5,"Critical",IF(F55&lt;Parameters!$B$6,"Below Reorder",IF(F55&lt;=Parameters!$B$7,"Healthy","Excess")))</f>
        <v>Critical</v>
      </c>
      <c r="M55" s="14" t="str">
        <f aca="false">IF(L55="Critical","REPLENISH NOW",IF(L55="Below Reorder","REPLENISH",IF(L55="Healthy","MAINTAIN","REDUCE STOCK")))</f>
        <v>REPLENISH NOW</v>
      </c>
      <c r="N55" s="12" t="n">
        <v>38.43</v>
      </c>
    </row>
    <row r="56" customFormat="false" ht="15" hidden="false" customHeight="false" outlineLevel="0" collapsed="false">
      <c r="A56" s="10" t="s">
        <v>158</v>
      </c>
      <c r="B56" s="10" t="s">
        <v>147</v>
      </c>
      <c r="C56" s="10" t="s">
        <v>108</v>
      </c>
      <c r="D56" s="11" t="n">
        <v>108</v>
      </c>
      <c r="E56" s="12" t="n">
        <v>106.46</v>
      </c>
      <c r="F56" s="9" t="n">
        <f aca="false">IFERROR(D56/E56,0)</f>
        <v>1.01446552695848</v>
      </c>
      <c r="G56" s="9" t="n">
        <f aca="false">E56*Parameters!$B$6</f>
        <v>159.69</v>
      </c>
      <c r="H56" s="9" t="n">
        <f aca="false">MAX(0,E56*Parameters!$B$7-D56)</f>
        <v>211.38</v>
      </c>
      <c r="I56" s="11" t="n">
        <v>105</v>
      </c>
      <c r="J56" s="9" t="n">
        <f aca="false">I56-H56</f>
        <v>-106.38</v>
      </c>
      <c r="K56" s="13" t="n">
        <f aca="false">D56*N56</f>
        <v>9132.48</v>
      </c>
      <c r="L56" s="14" t="str">
        <f aca="false">IF(F56&lt;Parameters!$B$5,"Critical",IF(F56&lt;Parameters!$B$6,"Below Reorder",IF(F56&lt;=Parameters!$B$7,"Healthy","Excess")))</f>
        <v>Below Reorder</v>
      </c>
      <c r="M56" s="14" t="str">
        <f aca="false">IF(L56="Critical","REPLENISH NOW",IF(L56="Below Reorder","REPLENISH",IF(L56="Healthy","MAINTAIN","REDUCE STOCK")))</f>
        <v>REPLENISH</v>
      </c>
      <c r="N56" s="12" t="n">
        <v>84.56</v>
      </c>
    </row>
    <row r="57" customFormat="false" ht="15" hidden="false" customHeight="false" outlineLevel="0" collapsed="false">
      <c r="A57" s="10" t="s">
        <v>159</v>
      </c>
      <c r="B57" s="10" t="s">
        <v>147</v>
      </c>
      <c r="C57" s="10" t="s">
        <v>110</v>
      </c>
      <c r="D57" s="11" t="n">
        <v>388</v>
      </c>
      <c r="E57" s="12" t="n">
        <v>129.64</v>
      </c>
      <c r="F57" s="9" t="n">
        <f aca="false">IFERROR(D57/E57,0)</f>
        <v>2.99290342486887</v>
      </c>
      <c r="G57" s="9" t="n">
        <f aca="false">E57*Parameters!$B$6</f>
        <v>194.46</v>
      </c>
      <c r="H57" s="9" t="n">
        <f aca="false">MAX(0,E57*Parameters!$B$7-D57)</f>
        <v>0.919999999999959</v>
      </c>
      <c r="I57" s="11" t="n">
        <v>26</v>
      </c>
      <c r="J57" s="9" t="n">
        <f aca="false">I57-H57</f>
        <v>25.08</v>
      </c>
      <c r="K57" s="13" t="n">
        <f aca="false">D57*N57</f>
        <v>5218.6</v>
      </c>
      <c r="L57" s="14" t="str">
        <f aca="false">IF(F57&lt;Parameters!$B$5,"Critical",IF(F57&lt;Parameters!$B$6,"Below Reorder",IF(F57&lt;=Parameters!$B$7,"Healthy","Excess")))</f>
        <v>Healthy</v>
      </c>
      <c r="M57" s="14" t="str">
        <f aca="false">IF(L57="Critical","REPLENISH NOW",IF(L57="Below Reorder","REPLENISH",IF(L57="Healthy","MAINTAIN","REDUCE STOCK")))</f>
        <v>MAINTAIN</v>
      </c>
      <c r="N57" s="12" t="n">
        <v>13.45</v>
      </c>
    </row>
    <row r="58" customFormat="false" ht="15" hidden="false" customHeight="false" outlineLevel="0" collapsed="false">
      <c r="A58" s="10" t="s">
        <v>160</v>
      </c>
      <c r="B58" s="10" t="s">
        <v>147</v>
      </c>
      <c r="C58" s="10" t="s">
        <v>112</v>
      </c>
      <c r="D58" s="11" t="n">
        <v>230</v>
      </c>
      <c r="E58" s="12" t="n">
        <v>154.07</v>
      </c>
      <c r="F58" s="9" t="n">
        <f aca="false">IFERROR(D58/E58,0)</f>
        <v>1.49282793535406</v>
      </c>
      <c r="G58" s="9" t="n">
        <f aca="false">E58*Parameters!$B$6</f>
        <v>231.105</v>
      </c>
      <c r="H58" s="9" t="n">
        <f aca="false">MAX(0,E58*Parameters!$B$7-D58)</f>
        <v>232.21</v>
      </c>
      <c r="I58" s="11" t="n">
        <v>190</v>
      </c>
      <c r="J58" s="9" t="n">
        <f aca="false">I58-H58</f>
        <v>-42.21</v>
      </c>
      <c r="K58" s="13" t="n">
        <f aca="false">D58*N58</f>
        <v>16882</v>
      </c>
      <c r="L58" s="14" t="str">
        <f aca="false">IF(F58&lt;Parameters!$B$5,"Critical",IF(F58&lt;Parameters!$B$6,"Below Reorder",IF(F58&lt;=Parameters!$B$7,"Healthy","Excess")))</f>
        <v>Below Reorder</v>
      </c>
      <c r="M58" s="14" t="str">
        <f aca="false">IF(L58="Critical","REPLENISH NOW",IF(L58="Below Reorder","REPLENISH",IF(L58="Healthy","MAINTAIN","REDUCE STOCK")))</f>
        <v>REPLENISH</v>
      </c>
      <c r="N58" s="12" t="n">
        <v>73.4</v>
      </c>
    </row>
    <row r="59" customFormat="false" ht="15" hidden="false" customHeight="false" outlineLevel="0" collapsed="false">
      <c r="A59" s="10" t="s">
        <v>161</v>
      </c>
      <c r="B59" s="10" t="s">
        <v>147</v>
      </c>
      <c r="C59" s="10" t="s">
        <v>114</v>
      </c>
      <c r="D59" s="11" t="n">
        <v>270</v>
      </c>
      <c r="E59" s="12" t="n">
        <v>136.5</v>
      </c>
      <c r="F59" s="9" t="n">
        <f aca="false">IFERROR(D59/E59,0)</f>
        <v>1.97802197802198</v>
      </c>
      <c r="G59" s="9" t="n">
        <f aca="false">E59*Parameters!$B$6</f>
        <v>204.75</v>
      </c>
      <c r="H59" s="9" t="n">
        <f aca="false">MAX(0,E59*Parameters!$B$7-D59)</f>
        <v>139.5</v>
      </c>
      <c r="I59" s="11" t="n">
        <v>109</v>
      </c>
      <c r="J59" s="9" t="n">
        <f aca="false">I59-H59</f>
        <v>-30.5</v>
      </c>
      <c r="K59" s="13" t="n">
        <f aca="false">D59*N59</f>
        <v>16146</v>
      </c>
      <c r="L59" s="14" t="str">
        <f aca="false">IF(F59&lt;Parameters!$B$5,"Critical",IF(F59&lt;Parameters!$B$6,"Below Reorder",IF(F59&lt;=Parameters!$B$7,"Healthy","Excess")))</f>
        <v>Healthy</v>
      </c>
      <c r="M59" s="14" t="str">
        <f aca="false">IF(L59="Critical","REPLENISH NOW",IF(L59="Below Reorder","REPLENISH",IF(L59="Healthy","MAINTAIN","REDUCE STOCK")))</f>
        <v>MAINTAIN</v>
      </c>
      <c r="N59" s="12" t="n">
        <v>59.8</v>
      </c>
    </row>
    <row r="60" customFormat="false" ht="15" hidden="false" customHeight="false" outlineLevel="0" collapsed="false">
      <c r="A60" s="10" t="s">
        <v>162</v>
      </c>
      <c r="B60" s="10" t="s">
        <v>147</v>
      </c>
      <c r="C60" s="10" t="s">
        <v>116</v>
      </c>
      <c r="D60" s="11" t="n">
        <v>166</v>
      </c>
      <c r="E60" s="12" t="n">
        <v>124.93</v>
      </c>
      <c r="F60" s="9" t="n">
        <f aca="false">IFERROR(D60/E60,0)</f>
        <v>1.32874409669415</v>
      </c>
      <c r="G60" s="9" t="n">
        <f aca="false">E60*Parameters!$B$6</f>
        <v>187.395</v>
      </c>
      <c r="H60" s="9" t="n">
        <f aca="false">MAX(0,E60*Parameters!$B$7-D60)</f>
        <v>208.79</v>
      </c>
      <c r="I60" s="11" t="n">
        <v>56</v>
      </c>
      <c r="J60" s="9" t="n">
        <f aca="false">I60-H60</f>
        <v>-152.79</v>
      </c>
      <c r="K60" s="13" t="n">
        <f aca="false">D60*N60</f>
        <v>9158.22</v>
      </c>
      <c r="L60" s="14" t="str">
        <f aca="false">IF(F60&lt;Parameters!$B$5,"Critical",IF(F60&lt;Parameters!$B$6,"Below Reorder",IF(F60&lt;=Parameters!$B$7,"Healthy","Excess")))</f>
        <v>Below Reorder</v>
      </c>
      <c r="M60" s="14" t="str">
        <f aca="false">IF(L60="Critical","REPLENISH NOW",IF(L60="Below Reorder","REPLENISH",IF(L60="Healthy","MAINTAIN","REDUCE STOCK")))</f>
        <v>REPLENISH</v>
      </c>
      <c r="N60" s="12" t="n">
        <v>55.17</v>
      </c>
    </row>
    <row r="61" customFormat="false" ht="15" hidden="false" customHeight="false" outlineLevel="0" collapsed="false">
      <c r="A61" s="10" t="s">
        <v>163</v>
      </c>
      <c r="B61" s="10" t="s">
        <v>147</v>
      </c>
      <c r="C61" s="10" t="s">
        <v>118</v>
      </c>
      <c r="D61" s="11" t="n">
        <v>239</v>
      </c>
      <c r="E61" s="12" t="n">
        <v>120.54</v>
      </c>
      <c r="F61" s="9" t="n">
        <f aca="false">IFERROR(D61/E61,0)</f>
        <v>1.98274431723909</v>
      </c>
      <c r="G61" s="9" t="n">
        <f aca="false">E61*Parameters!$B$6</f>
        <v>180.81</v>
      </c>
      <c r="H61" s="9" t="n">
        <f aca="false">MAX(0,E61*Parameters!$B$7-D61)</f>
        <v>122.62</v>
      </c>
      <c r="I61" s="11" t="n">
        <v>26</v>
      </c>
      <c r="J61" s="9" t="n">
        <f aca="false">I61-H61</f>
        <v>-96.62</v>
      </c>
      <c r="K61" s="13" t="n">
        <f aca="false">D61*N61</f>
        <v>16099.04</v>
      </c>
      <c r="L61" s="14" t="str">
        <f aca="false">IF(F61&lt;Parameters!$B$5,"Critical",IF(F61&lt;Parameters!$B$6,"Below Reorder",IF(F61&lt;=Parameters!$B$7,"Healthy","Excess")))</f>
        <v>Healthy</v>
      </c>
      <c r="M61" s="14" t="str">
        <f aca="false">IF(L61="Critical","REPLENISH NOW",IF(L61="Below Reorder","REPLENISH",IF(L61="Healthy","MAINTAIN","REDUCE STOCK")))</f>
        <v>MAINTAIN</v>
      </c>
      <c r="N61" s="12" t="n">
        <v>67.36</v>
      </c>
    </row>
    <row r="62" customFormat="false" ht="15" hidden="false" customHeight="false" outlineLevel="0" collapsed="false">
      <c r="A62" s="10" t="s">
        <v>164</v>
      </c>
      <c r="B62" s="10" t="s">
        <v>147</v>
      </c>
      <c r="C62" s="10" t="s">
        <v>120</v>
      </c>
      <c r="D62" s="11" t="n">
        <v>375</v>
      </c>
      <c r="E62" s="12" t="n">
        <v>142.71</v>
      </c>
      <c r="F62" s="9" t="n">
        <f aca="false">IFERROR(D62/E62,0)</f>
        <v>2.62770653773387</v>
      </c>
      <c r="G62" s="9" t="n">
        <f aca="false">E62*Parameters!$B$6</f>
        <v>214.065</v>
      </c>
      <c r="H62" s="9" t="n">
        <f aca="false">MAX(0,E62*Parameters!$B$7-D62)</f>
        <v>53.13</v>
      </c>
      <c r="I62" s="11" t="n">
        <v>67</v>
      </c>
      <c r="J62" s="9" t="n">
        <f aca="false">I62-H62</f>
        <v>13.87</v>
      </c>
      <c r="K62" s="13" t="n">
        <f aca="false">D62*N62</f>
        <v>11043.75</v>
      </c>
      <c r="L62" s="14" t="str">
        <f aca="false">IF(F62&lt;Parameters!$B$5,"Critical",IF(F62&lt;Parameters!$B$6,"Below Reorder",IF(F62&lt;=Parameters!$B$7,"Healthy","Excess")))</f>
        <v>Healthy</v>
      </c>
      <c r="M62" s="14" t="str">
        <f aca="false">IF(L62="Critical","REPLENISH NOW",IF(L62="Below Reorder","REPLENISH",IF(L62="Healthy","MAINTAIN","REDUCE STOCK")))</f>
        <v>MAINTAIN</v>
      </c>
      <c r="N62" s="12" t="n">
        <v>29.45</v>
      </c>
    </row>
    <row r="63" customFormat="false" ht="15" hidden="false" customHeight="false" outlineLevel="0" collapsed="false">
      <c r="A63" s="10" t="s">
        <v>165</v>
      </c>
      <c r="B63" s="10" t="s">
        <v>147</v>
      </c>
      <c r="C63" s="10" t="s">
        <v>122</v>
      </c>
      <c r="D63" s="11" t="n">
        <v>253</v>
      </c>
      <c r="E63" s="12" t="n">
        <v>149.32</v>
      </c>
      <c r="F63" s="9" t="n">
        <f aca="false">IFERROR(D63/E63,0)</f>
        <v>1.69434770961693</v>
      </c>
      <c r="G63" s="9" t="n">
        <f aca="false">E63*Parameters!$B$6</f>
        <v>223.98</v>
      </c>
      <c r="H63" s="9" t="n">
        <f aca="false">MAX(0,E63*Parameters!$B$7-D63)</f>
        <v>194.96</v>
      </c>
      <c r="I63" s="11" t="n">
        <v>121</v>
      </c>
      <c r="J63" s="9" t="n">
        <f aca="false">I63-H63</f>
        <v>-73.96</v>
      </c>
      <c r="K63" s="13" t="n">
        <f aca="false">D63*N63</f>
        <v>15686</v>
      </c>
      <c r="L63" s="14" t="str">
        <f aca="false">IF(F63&lt;Parameters!$B$5,"Critical",IF(F63&lt;Parameters!$B$6,"Below Reorder",IF(F63&lt;=Parameters!$B$7,"Healthy","Excess")))</f>
        <v>Healthy</v>
      </c>
      <c r="M63" s="14" t="str">
        <f aca="false">IF(L63="Critical","REPLENISH NOW",IF(L63="Below Reorder","REPLENISH",IF(L63="Healthy","MAINTAIN","REDUCE STOCK")))</f>
        <v>MAINTAIN</v>
      </c>
      <c r="N63" s="12" t="n">
        <v>62</v>
      </c>
    </row>
    <row r="64" customFormat="false" ht="15" hidden="false" customHeight="false" outlineLevel="0" collapsed="false">
      <c r="A64" s="10" t="s">
        <v>166</v>
      </c>
      <c r="B64" s="10" t="s">
        <v>147</v>
      </c>
      <c r="C64" s="10" t="s">
        <v>124</v>
      </c>
      <c r="D64" s="11" t="n">
        <v>417</v>
      </c>
      <c r="E64" s="12" t="n">
        <v>142.71</v>
      </c>
      <c r="F64" s="9" t="n">
        <f aca="false">IFERROR(D64/E64,0)</f>
        <v>2.92200966996006</v>
      </c>
      <c r="G64" s="9" t="n">
        <f aca="false">E64*Parameters!$B$6</f>
        <v>214.065</v>
      </c>
      <c r="H64" s="9" t="n">
        <f aca="false">MAX(0,E64*Parameters!$B$7-D64)</f>
        <v>11.13</v>
      </c>
      <c r="I64" s="11" t="n">
        <v>148</v>
      </c>
      <c r="J64" s="9" t="n">
        <f aca="false">I64-H64</f>
        <v>136.87</v>
      </c>
      <c r="K64" s="13" t="n">
        <f aca="false">D64*N64</f>
        <v>22597.23</v>
      </c>
      <c r="L64" s="14" t="str">
        <f aca="false">IF(F64&lt;Parameters!$B$5,"Critical",IF(F64&lt;Parameters!$B$6,"Below Reorder",IF(F64&lt;=Parameters!$B$7,"Healthy","Excess")))</f>
        <v>Healthy</v>
      </c>
      <c r="M64" s="14" t="str">
        <f aca="false">IF(L64="Critical","REPLENISH NOW",IF(L64="Below Reorder","REPLENISH",IF(L64="Healthy","MAINTAIN","REDUCE STOCK")))</f>
        <v>MAINTAIN</v>
      </c>
      <c r="N64" s="12" t="n">
        <v>54.19</v>
      </c>
    </row>
    <row r="65" customFormat="false" ht="15" hidden="false" customHeight="false" outlineLevel="0" collapsed="false">
      <c r="A65" s="10" t="s">
        <v>167</v>
      </c>
      <c r="B65" s="10" t="s">
        <v>168</v>
      </c>
      <c r="C65" s="10" t="s">
        <v>86</v>
      </c>
      <c r="D65" s="11" t="n">
        <v>497</v>
      </c>
      <c r="E65" s="12" t="n">
        <v>137.57</v>
      </c>
      <c r="F65" s="9" t="n">
        <f aca="false">IFERROR(D65/E65,0)</f>
        <v>3.61270625863197</v>
      </c>
      <c r="G65" s="9" t="n">
        <f aca="false">E65*Parameters!$B$6</f>
        <v>206.355</v>
      </c>
      <c r="H65" s="9" t="n">
        <f aca="false">MAX(0,E65*Parameters!$B$7-D65)</f>
        <v>0</v>
      </c>
      <c r="I65" s="11" t="n">
        <v>137</v>
      </c>
      <c r="J65" s="9" t="n">
        <f aca="false">I65-H65</f>
        <v>137</v>
      </c>
      <c r="K65" s="13" t="n">
        <f aca="false">D65*N65</f>
        <v>21042.98</v>
      </c>
      <c r="L65" s="14" t="str">
        <f aca="false">IF(F65&lt;Parameters!$B$5,"Critical",IF(F65&lt;Parameters!$B$6,"Below Reorder",IF(F65&lt;=Parameters!$B$7,"Healthy","Excess")))</f>
        <v>Excess</v>
      </c>
      <c r="M65" s="14" t="str">
        <f aca="false">IF(L65="Critical","REPLENISH NOW",IF(L65="Below Reorder","REPLENISH",IF(L65="Healthy","MAINTAIN","REDUCE STOCK")))</f>
        <v>REDUCE STOCK</v>
      </c>
      <c r="N65" s="12" t="n">
        <v>42.34</v>
      </c>
    </row>
    <row r="66" customFormat="false" ht="15" hidden="false" customHeight="false" outlineLevel="0" collapsed="false">
      <c r="A66" s="10" t="s">
        <v>169</v>
      </c>
      <c r="B66" s="10" t="s">
        <v>168</v>
      </c>
      <c r="C66" s="10" t="s">
        <v>88</v>
      </c>
      <c r="D66" s="11" t="n">
        <v>181</v>
      </c>
      <c r="E66" s="12" t="n">
        <v>152.71</v>
      </c>
      <c r="F66" s="9" t="n">
        <f aca="false">IFERROR(D66/E66,0)</f>
        <v>1.18525309409993</v>
      </c>
      <c r="G66" s="9" t="n">
        <f aca="false">E66*Parameters!$B$6</f>
        <v>229.065</v>
      </c>
      <c r="H66" s="9" t="n">
        <f aca="false">MAX(0,E66*Parameters!$B$7-D66)</f>
        <v>277.13</v>
      </c>
      <c r="I66" s="11" t="n">
        <v>85</v>
      </c>
      <c r="J66" s="9" t="n">
        <f aca="false">I66-H66</f>
        <v>-192.13</v>
      </c>
      <c r="K66" s="13" t="n">
        <f aca="false">D66*N66</f>
        <v>5547.65</v>
      </c>
      <c r="L66" s="14" t="str">
        <f aca="false">IF(F66&lt;Parameters!$B$5,"Critical",IF(F66&lt;Parameters!$B$6,"Below Reorder",IF(F66&lt;=Parameters!$B$7,"Healthy","Excess")))</f>
        <v>Below Reorder</v>
      </c>
      <c r="M66" s="14" t="str">
        <f aca="false">IF(L66="Critical","REPLENISH NOW",IF(L66="Below Reorder","REPLENISH",IF(L66="Healthy","MAINTAIN","REDUCE STOCK")))</f>
        <v>REPLENISH</v>
      </c>
      <c r="N66" s="12" t="n">
        <v>30.65</v>
      </c>
    </row>
    <row r="67" customFormat="false" ht="15" hidden="false" customHeight="false" outlineLevel="0" collapsed="false">
      <c r="A67" s="10" t="s">
        <v>170</v>
      </c>
      <c r="B67" s="10" t="s">
        <v>168</v>
      </c>
      <c r="C67" s="10" t="s">
        <v>90</v>
      </c>
      <c r="D67" s="11" t="n">
        <v>419</v>
      </c>
      <c r="E67" s="12" t="n">
        <v>119.79</v>
      </c>
      <c r="F67" s="9" t="n">
        <f aca="false">IFERROR(D67/E67,0)</f>
        <v>3.49778779530846</v>
      </c>
      <c r="G67" s="9" t="n">
        <f aca="false">E67*Parameters!$B$6</f>
        <v>179.685</v>
      </c>
      <c r="H67" s="9" t="n">
        <f aca="false">MAX(0,E67*Parameters!$B$7-D67)</f>
        <v>0</v>
      </c>
      <c r="I67" s="11" t="n">
        <v>169</v>
      </c>
      <c r="J67" s="9" t="n">
        <f aca="false">I67-H67</f>
        <v>169</v>
      </c>
      <c r="K67" s="13" t="n">
        <f aca="false">D67*N67</f>
        <v>30431.97</v>
      </c>
      <c r="L67" s="14" t="str">
        <f aca="false">IF(F67&lt;Parameters!$B$5,"Critical",IF(F67&lt;Parameters!$B$6,"Below Reorder",IF(F67&lt;=Parameters!$B$7,"Healthy","Excess")))</f>
        <v>Excess</v>
      </c>
      <c r="M67" s="14" t="str">
        <f aca="false">IF(L67="Critical","REPLENISH NOW",IF(L67="Below Reorder","REPLENISH",IF(L67="Healthy","MAINTAIN","REDUCE STOCK")))</f>
        <v>REDUCE STOCK</v>
      </c>
      <c r="N67" s="12" t="n">
        <v>72.63</v>
      </c>
    </row>
    <row r="68" customFormat="false" ht="15" hidden="false" customHeight="false" outlineLevel="0" collapsed="false">
      <c r="A68" s="10" t="s">
        <v>171</v>
      </c>
      <c r="B68" s="10" t="s">
        <v>168</v>
      </c>
      <c r="C68" s="10" t="s">
        <v>92</v>
      </c>
      <c r="D68" s="11" t="n">
        <v>105</v>
      </c>
      <c r="E68" s="12" t="n">
        <v>103.61</v>
      </c>
      <c r="F68" s="9" t="n">
        <f aca="false">IFERROR(D68/E68,0)</f>
        <v>1.01341569346588</v>
      </c>
      <c r="G68" s="9" t="n">
        <f aca="false">E68*Parameters!$B$6</f>
        <v>155.415</v>
      </c>
      <c r="H68" s="9" t="n">
        <f aca="false">MAX(0,E68*Parameters!$B$7-D68)</f>
        <v>205.83</v>
      </c>
      <c r="I68" s="11" t="n">
        <v>193</v>
      </c>
      <c r="J68" s="9" t="n">
        <f aca="false">I68-H68</f>
        <v>-12.83</v>
      </c>
      <c r="K68" s="13" t="n">
        <f aca="false">D68*N68</f>
        <v>4570.65</v>
      </c>
      <c r="L68" s="14" t="str">
        <f aca="false">IF(F68&lt;Parameters!$B$5,"Critical",IF(F68&lt;Parameters!$B$6,"Below Reorder",IF(F68&lt;=Parameters!$B$7,"Healthy","Excess")))</f>
        <v>Below Reorder</v>
      </c>
      <c r="M68" s="14" t="str">
        <f aca="false">IF(L68="Critical","REPLENISH NOW",IF(L68="Below Reorder","REPLENISH",IF(L68="Healthy","MAINTAIN","REDUCE STOCK")))</f>
        <v>REPLENISH</v>
      </c>
      <c r="N68" s="12" t="n">
        <v>43.53</v>
      </c>
    </row>
    <row r="69" customFormat="false" ht="15" hidden="false" customHeight="false" outlineLevel="0" collapsed="false">
      <c r="A69" s="10" t="s">
        <v>172</v>
      </c>
      <c r="B69" s="10" t="s">
        <v>168</v>
      </c>
      <c r="C69" s="10" t="s">
        <v>94</v>
      </c>
      <c r="D69" s="11" t="n">
        <v>217</v>
      </c>
      <c r="E69" s="12" t="n">
        <v>130.04</v>
      </c>
      <c r="F69" s="9" t="n">
        <f aca="false">IFERROR(D69/E69,0)</f>
        <v>1.66871731774839</v>
      </c>
      <c r="G69" s="9" t="n">
        <f aca="false">E69*Parameters!$B$6</f>
        <v>195.06</v>
      </c>
      <c r="H69" s="9" t="n">
        <f aca="false">MAX(0,E69*Parameters!$B$7-D69)</f>
        <v>173.12</v>
      </c>
      <c r="I69" s="11" t="n">
        <v>88</v>
      </c>
      <c r="J69" s="9" t="n">
        <f aca="false">I69-H69</f>
        <v>-85.12</v>
      </c>
      <c r="K69" s="13" t="n">
        <f aca="false">D69*N69</f>
        <v>16852.22</v>
      </c>
      <c r="L69" s="14" t="str">
        <f aca="false">IF(F69&lt;Parameters!$B$5,"Critical",IF(F69&lt;Parameters!$B$6,"Below Reorder",IF(F69&lt;=Parameters!$B$7,"Healthy","Excess")))</f>
        <v>Healthy</v>
      </c>
      <c r="M69" s="14" t="str">
        <f aca="false">IF(L69="Critical","REPLENISH NOW",IF(L69="Below Reorder","REPLENISH",IF(L69="Healthy","MAINTAIN","REDUCE STOCK")))</f>
        <v>MAINTAIN</v>
      </c>
      <c r="N69" s="12" t="n">
        <v>77.66</v>
      </c>
    </row>
    <row r="70" customFormat="false" ht="15" hidden="false" customHeight="false" outlineLevel="0" collapsed="false">
      <c r="A70" s="10" t="s">
        <v>173</v>
      </c>
      <c r="B70" s="10" t="s">
        <v>168</v>
      </c>
      <c r="C70" s="10" t="s">
        <v>96</v>
      </c>
      <c r="D70" s="11" t="n">
        <v>364</v>
      </c>
      <c r="E70" s="12" t="n">
        <v>123.75</v>
      </c>
      <c r="F70" s="9" t="n">
        <f aca="false">IFERROR(D70/E70,0)</f>
        <v>2.94141414141414</v>
      </c>
      <c r="G70" s="9" t="n">
        <f aca="false">E70*Parameters!$B$6</f>
        <v>185.625</v>
      </c>
      <c r="H70" s="9" t="n">
        <f aca="false">MAX(0,E70*Parameters!$B$7-D70)</f>
        <v>7.25</v>
      </c>
      <c r="I70" s="11" t="n">
        <v>39</v>
      </c>
      <c r="J70" s="9" t="n">
        <f aca="false">I70-H70</f>
        <v>31.75</v>
      </c>
      <c r="K70" s="13" t="n">
        <f aca="false">D70*N70</f>
        <v>15444.52</v>
      </c>
      <c r="L70" s="14" t="str">
        <f aca="false">IF(F70&lt;Parameters!$B$5,"Critical",IF(F70&lt;Parameters!$B$6,"Below Reorder",IF(F70&lt;=Parameters!$B$7,"Healthy","Excess")))</f>
        <v>Healthy</v>
      </c>
      <c r="M70" s="14" t="str">
        <f aca="false">IF(L70="Critical","REPLENISH NOW",IF(L70="Below Reorder","REPLENISH",IF(L70="Healthy","MAINTAIN","REDUCE STOCK")))</f>
        <v>MAINTAIN</v>
      </c>
      <c r="N70" s="12" t="n">
        <v>42.43</v>
      </c>
    </row>
    <row r="71" customFormat="false" ht="15" hidden="false" customHeight="false" outlineLevel="0" collapsed="false">
      <c r="A71" s="10" t="s">
        <v>174</v>
      </c>
      <c r="B71" s="10" t="s">
        <v>168</v>
      </c>
      <c r="C71" s="10" t="s">
        <v>98</v>
      </c>
      <c r="D71" s="11" t="n">
        <v>134</v>
      </c>
      <c r="E71" s="12" t="n">
        <v>127.89</v>
      </c>
      <c r="F71" s="9" t="n">
        <f aca="false">IFERROR(D71/E71,0)</f>
        <v>1.04777543201189</v>
      </c>
      <c r="G71" s="9" t="n">
        <f aca="false">E71*Parameters!$B$6</f>
        <v>191.835</v>
      </c>
      <c r="H71" s="9" t="n">
        <f aca="false">MAX(0,E71*Parameters!$B$7-D71)</f>
        <v>249.67</v>
      </c>
      <c r="I71" s="11" t="n">
        <v>97</v>
      </c>
      <c r="J71" s="9" t="n">
        <f aca="false">I71-H71</f>
        <v>-152.67</v>
      </c>
      <c r="K71" s="13" t="n">
        <f aca="false">D71*N71</f>
        <v>3678.3</v>
      </c>
      <c r="L71" s="14" t="str">
        <f aca="false">IF(F71&lt;Parameters!$B$5,"Critical",IF(F71&lt;Parameters!$B$6,"Below Reorder",IF(F71&lt;=Parameters!$B$7,"Healthy","Excess")))</f>
        <v>Below Reorder</v>
      </c>
      <c r="M71" s="14" t="str">
        <f aca="false">IF(L71="Critical","REPLENISH NOW",IF(L71="Below Reorder","REPLENISH",IF(L71="Healthy","MAINTAIN","REDUCE STOCK")))</f>
        <v>REPLENISH</v>
      </c>
      <c r="N71" s="12" t="n">
        <v>27.45</v>
      </c>
    </row>
    <row r="72" customFormat="false" ht="15" hidden="false" customHeight="false" outlineLevel="0" collapsed="false">
      <c r="A72" s="10" t="s">
        <v>175</v>
      </c>
      <c r="B72" s="10" t="s">
        <v>168</v>
      </c>
      <c r="C72" s="10" t="s">
        <v>100</v>
      </c>
      <c r="D72" s="11" t="n">
        <v>390</v>
      </c>
      <c r="E72" s="12" t="n">
        <v>174.14</v>
      </c>
      <c r="F72" s="9" t="n">
        <f aca="false">IFERROR(D72/E72,0)</f>
        <v>2.23957735155622</v>
      </c>
      <c r="G72" s="9" t="n">
        <f aca="false">E72*Parameters!$B$6</f>
        <v>261.21</v>
      </c>
      <c r="H72" s="9" t="n">
        <f aca="false">MAX(0,E72*Parameters!$B$7-D72)</f>
        <v>132.42</v>
      </c>
      <c r="I72" s="11" t="n">
        <v>91</v>
      </c>
      <c r="J72" s="9" t="n">
        <f aca="false">I72-H72</f>
        <v>-41.42</v>
      </c>
      <c r="K72" s="13" t="n">
        <f aca="false">D72*N72</f>
        <v>31457.4</v>
      </c>
      <c r="L72" s="14" t="str">
        <f aca="false">IF(F72&lt;Parameters!$B$5,"Critical",IF(F72&lt;Parameters!$B$6,"Below Reorder",IF(F72&lt;=Parameters!$B$7,"Healthy","Excess")))</f>
        <v>Healthy</v>
      </c>
      <c r="M72" s="14" t="str">
        <f aca="false">IF(L72="Critical","REPLENISH NOW",IF(L72="Below Reorder","REPLENISH",IF(L72="Healthy","MAINTAIN","REDUCE STOCK")))</f>
        <v>MAINTAIN</v>
      </c>
      <c r="N72" s="12" t="n">
        <v>80.66</v>
      </c>
    </row>
    <row r="73" customFormat="false" ht="15" hidden="false" customHeight="false" outlineLevel="0" collapsed="false">
      <c r="A73" s="10" t="s">
        <v>176</v>
      </c>
      <c r="B73" s="10" t="s">
        <v>168</v>
      </c>
      <c r="C73" s="10" t="s">
        <v>102</v>
      </c>
      <c r="D73" s="11" t="n">
        <v>115</v>
      </c>
      <c r="E73" s="12" t="n">
        <v>158.04</v>
      </c>
      <c r="F73" s="9" t="n">
        <f aca="false">IFERROR(D73/E73,0)</f>
        <v>0.727663882561377</v>
      </c>
      <c r="G73" s="9" t="n">
        <f aca="false">E73*Parameters!$B$6</f>
        <v>237.06</v>
      </c>
      <c r="H73" s="9" t="n">
        <f aca="false">MAX(0,E73*Parameters!$B$7-D73)</f>
        <v>359.12</v>
      </c>
      <c r="I73" s="11" t="n">
        <v>139</v>
      </c>
      <c r="J73" s="9" t="n">
        <f aca="false">I73-H73</f>
        <v>-220.12</v>
      </c>
      <c r="K73" s="13" t="n">
        <f aca="false">D73*N73</f>
        <v>5594.75</v>
      </c>
      <c r="L73" s="14" t="str">
        <f aca="false">IF(F73&lt;Parameters!$B$5,"Critical",IF(F73&lt;Parameters!$B$6,"Below Reorder",IF(F73&lt;=Parameters!$B$7,"Healthy","Excess")))</f>
        <v>Critical</v>
      </c>
      <c r="M73" s="14" t="str">
        <f aca="false">IF(L73="Critical","REPLENISH NOW",IF(L73="Below Reorder","REPLENISH",IF(L73="Healthy","MAINTAIN","REDUCE STOCK")))</f>
        <v>REPLENISH NOW</v>
      </c>
      <c r="N73" s="12" t="n">
        <v>48.65</v>
      </c>
    </row>
    <row r="74" customFormat="false" ht="15" hidden="false" customHeight="false" outlineLevel="0" collapsed="false">
      <c r="A74" s="10" t="s">
        <v>177</v>
      </c>
      <c r="B74" s="10" t="s">
        <v>168</v>
      </c>
      <c r="C74" s="10" t="s">
        <v>104</v>
      </c>
      <c r="D74" s="11" t="n">
        <v>382</v>
      </c>
      <c r="E74" s="12" t="n">
        <v>135.93</v>
      </c>
      <c r="F74" s="9" t="n">
        <f aca="false">IFERROR(D74/E74,0)</f>
        <v>2.8102699919076</v>
      </c>
      <c r="G74" s="9" t="n">
        <f aca="false">E74*Parameters!$B$6</f>
        <v>203.895</v>
      </c>
      <c r="H74" s="9" t="n">
        <f aca="false">MAX(0,E74*Parameters!$B$7-D74)</f>
        <v>25.79</v>
      </c>
      <c r="I74" s="11" t="n">
        <v>70</v>
      </c>
      <c r="J74" s="9" t="n">
        <f aca="false">I74-H74</f>
        <v>44.21</v>
      </c>
      <c r="K74" s="13" t="n">
        <f aca="false">D74*N74</f>
        <v>5863.7</v>
      </c>
      <c r="L74" s="14" t="str">
        <f aca="false">IF(F74&lt;Parameters!$B$5,"Critical",IF(F74&lt;Parameters!$B$6,"Below Reorder",IF(F74&lt;=Parameters!$B$7,"Healthy","Excess")))</f>
        <v>Healthy</v>
      </c>
      <c r="M74" s="14" t="str">
        <f aca="false">IF(L74="Critical","REPLENISH NOW",IF(L74="Below Reorder","REPLENISH",IF(L74="Healthy","MAINTAIN","REDUCE STOCK")))</f>
        <v>MAINTAIN</v>
      </c>
      <c r="N74" s="12" t="n">
        <v>15.35</v>
      </c>
    </row>
    <row r="75" customFormat="false" ht="15" hidden="false" customHeight="false" outlineLevel="0" collapsed="false">
      <c r="A75" s="10" t="s">
        <v>178</v>
      </c>
      <c r="B75" s="10" t="s">
        <v>168</v>
      </c>
      <c r="C75" s="10" t="s">
        <v>106</v>
      </c>
      <c r="D75" s="11" t="n">
        <v>155</v>
      </c>
      <c r="E75" s="12" t="n">
        <v>139.39</v>
      </c>
      <c r="F75" s="9" t="n">
        <f aca="false">IFERROR(D75/E75,0)</f>
        <v>1.11198794748547</v>
      </c>
      <c r="G75" s="9" t="n">
        <f aca="false">E75*Parameters!$B$6</f>
        <v>209.085</v>
      </c>
      <c r="H75" s="9" t="n">
        <f aca="false">MAX(0,E75*Parameters!$B$7-D75)</f>
        <v>263.17</v>
      </c>
      <c r="I75" s="11" t="n">
        <v>47</v>
      </c>
      <c r="J75" s="9" t="n">
        <f aca="false">I75-H75</f>
        <v>-216.17</v>
      </c>
      <c r="K75" s="13" t="n">
        <f aca="false">D75*N75</f>
        <v>13666.35</v>
      </c>
      <c r="L75" s="14" t="str">
        <f aca="false">IF(F75&lt;Parameters!$B$5,"Critical",IF(F75&lt;Parameters!$B$6,"Below Reorder",IF(F75&lt;=Parameters!$B$7,"Healthy","Excess")))</f>
        <v>Below Reorder</v>
      </c>
      <c r="M75" s="14" t="str">
        <f aca="false">IF(L75="Critical","REPLENISH NOW",IF(L75="Below Reorder","REPLENISH",IF(L75="Healthy","MAINTAIN","REDUCE STOCK")))</f>
        <v>REPLENISH</v>
      </c>
      <c r="N75" s="12" t="n">
        <v>88.17</v>
      </c>
    </row>
    <row r="76" customFormat="false" ht="15" hidden="false" customHeight="false" outlineLevel="0" collapsed="false">
      <c r="A76" s="10" t="s">
        <v>179</v>
      </c>
      <c r="B76" s="10" t="s">
        <v>168</v>
      </c>
      <c r="C76" s="10" t="s">
        <v>108</v>
      </c>
      <c r="D76" s="11" t="n">
        <v>85</v>
      </c>
      <c r="E76" s="12" t="n">
        <v>113.64</v>
      </c>
      <c r="F76" s="9" t="n">
        <f aca="false">IFERROR(D76/E76,0)</f>
        <v>0.747976064765928</v>
      </c>
      <c r="G76" s="9" t="n">
        <f aca="false">E76*Parameters!$B$6</f>
        <v>170.46</v>
      </c>
      <c r="H76" s="9" t="n">
        <f aca="false">MAX(0,E76*Parameters!$B$7-D76)</f>
        <v>255.92</v>
      </c>
      <c r="I76" s="11" t="n">
        <v>36</v>
      </c>
      <c r="J76" s="9" t="n">
        <f aca="false">I76-H76</f>
        <v>-219.92</v>
      </c>
      <c r="K76" s="13" t="n">
        <f aca="false">D76*N76</f>
        <v>990.25</v>
      </c>
      <c r="L76" s="14" t="str">
        <f aca="false">IF(F76&lt;Parameters!$B$5,"Critical",IF(F76&lt;Parameters!$B$6,"Below Reorder",IF(F76&lt;=Parameters!$B$7,"Healthy","Excess")))</f>
        <v>Critical</v>
      </c>
      <c r="M76" s="14" t="str">
        <f aca="false">IF(L76="Critical","REPLENISH NOW",IF(L76="Below Reorder","REPLENISH",IF(L76="Healthy","MAINTAIN","REDUCE STOCK")))</f>
        <v>REPLENISH NOW</v>
      </c>
      <c r="N76" s="12" t="n">
        <v>11.65</v>
      </c>
    </row>
    <row r="77" customFormat="false" ht="15" hidden="false" customHeight="false" outlineLevel="0" collapsed="false">
      <c r="A77" s="10" t="s">
        <v>180</v>
      </c>
      <c r="B77" s="10" t="s">
        <v>168</v>
      </c>
      <c r="C77" s="10" t="s">
        <v>110</v>
      </c>
      <c r="D77" s="11" t="n">
        <v>113</v>
      </c>
      <c r="E77" s="12" t="n">
        <v>112.04</v>
      </c>
      <c r="F77" s="9" t="n">
        <f aca="false">IFERROR(D77/E77,0)</f>
        <v>1.00856836843984</v>
      </c>
      <c r="G77" s="9" t="n">
        <f aca="false">E77*Parameters!$B$6</f>
        <v>168.06</v>
      </c>
      <c r="H77" s="9" t="n">
        <f aca="false">MAX(0,E77*Parameters!$B$7-D77)</f>
        <v>223.12</v>
      </c>
      <c r="I77" s="11" t="n">
        <v>67</v>
      </c>
      <c r="J77" s="9" t="n">
        <f aca="false">I77-H77</f>
        <v>-156.12</v>
      </c>
      <c r="K77" s="13" t="n">
        <f aca="false">D77*N77</f>
        <v>10270.57</v>
      </c>
      <c r="L77" s="14" t="str">
        <f aca="false">IF(F77&lt;Parameters!$B$5,"Critical",IF(F77&lt;Parameters!$B$6,"Below Reorder",IF(F77&lt;=Parameters!$B$7,"Healthy","Excess")))</f>
        <v>Below Reorder</v>
      </c>
      <c r="M77" s="14" t="str">
        <f aca="false">IF(L77="Critical","REPLENISH NOW",IF(L77="Below Reorder","REPLENISH",IF(L77="Healthy","MAINTAIN","REDUCE STOCK")))</f>
        <v>REPLENISH</v>
      </c>
      <c r="N77" s="12" t="n">
        <v>90.89</v>
      </c>
    </row>
    <row r="78" customFormat="false" ht="15" hidden="false" customHeight="false" outlineLevel="0" collapsed="false">
      <c r="A78" s="10" t="s">
        <v>181</v>
      </c>
      <c r="B78" s="10" t="s">
        <v>168</v>
      </c>
      <c r="C78" s="10" t="s">
        <v>112</v>
      </c>
      <c r="D78" s="11" t="n">
        <v>386</v>
      </c>
      <c r="E78" s="12" t="n">
        <v>122.79</v>
      </c>
      <c r="F78" s="9" t="n">
        <f aca="false">IFERROR(D78/E78,0)</f>
        <v>3.1435784673019</v>
      </c>
      <c r="G78" s="9" t="n">
        <f aca="false">E78*Parameters!$B$6</f>
        <v>184.185</v>
      </c>
      <c r="H78" s="9" t="n">
        <f aca="false">MAX(0,E78*Parameters!$B$7-D78)</f>
        <v>0</v>
      </c>
      <c r="I78" s="11" t="n">
        <v>169</v>
      </c>
      <c r="J78" s="9" t="n">
        <f aca="false">I78-H78</f>
        <v>169</v>
      </c>
      <c r="K78" s="13" t="n">
        <f aca="false">D78*N78</f>
        <v>20562.22</v>
      </c>
      <c r="L78" s="14" t="str">
        <f aca="false">IF(F78&lt;Parameters!$B$5,"Critical",IF(F78&lt;Parameters!$B$6,"Below Reorder",IF(F78&lt;=Parameters!$B$7,"Healthy","Excess")))</f>
        <v>Excess</v>
      </c>
      <c r="M78" s="14" t="str">
        <f aca="false">IF(L78="Critical","REPLENISH NOW",IF(L78="Below Reorder","REPLENISH",IF(L78="Healthy","MAINTAIN","REDUCE STOCK")))</f>
        <v>REDUCE STOCK</v>
      </c>
      <c r="N78" s="12" t="n">
        <v>53.27</v>
      </c>
    </row>
    <row r="79" customFormat="false" ht="15" hidden="false" customHeight="false" outlineLevel="0" collapsed="false">
      <c r="A79" s="10" t="s">
        <v>182</v>
      </c>
      <c r="B79" s="10" t="s">
        <v>168</v>
      </c>
      <c r="C79" s="10" t="s">
        <v>114</v>
      </c>
      <c r="D79" s="11" t="n">
        <v>56</v>
      </c>
      <c r="E79" s="12" t="n">
        <v>124.71</v>
      </c>
      <c r="F79" s="9" t="n">
        <f aca="false">IFERROR(D79/E79,0)</f>
        <v>0.44904177692246</v>
      </c>
      <c r="G79" s="9" t="n">
        <f aca="false">E79*Parameters!$B$6</f>
        <v>187.065</v>
      </c>
      <c r="H79" s="9" t="n">
        <f aca="false">MAX(0,E79*Parameters!$B$7-D79)</f>
        <v>318.13</v>
      </c>
      <c r="I79" s="11" t="n">
        <v>148</v>
      </c>
      <c r="J79" s="9" t="n">
        <f aca="false">I79-H79</f>
        <v>-170.13</v>
      </c>
      <c r="K79" s="13" t="n">
        <f aca="false">D79*N79</f>
        <v>1954.4</v>
      </c>
      <c r="L79" s="14" t="str">
        <f aca="false">IF(F79&lt;Parameters!$B$5,"Critical",IF(F79&lt;Parameters!$B$6,"Below Reorder",IF(F79&lt;=Parameters!$B$7,"Healthy","Excess")))</f>
        <v>Critical</v>
      </c>
      <c r="M79" s="14" t="str">
        <f aca="false">IF(L79="Critical","REPLENISH NOW",IF(L79="Below Reorder","REPLENISH",IF(L79="Healthy","MAINTAIN","REDUCE STOCK")))</f>
        <v>REPLENISH NOW</v>
      </c>
      <c r="N79" s="12" t="n">
        <v>34.9</v>
      </c>
    </row>
    <row r="80" customFormat="false" ht="15" hidden="false" customHeight="false" outlineLevel="0" collapsed="false">
      <c r="A80" s="10" t="s">
        <v>183</v>
      </c>
      <c r="B80" s="10" t="s">
        <v>168</v>
      </c>
      <c r="C80" s="10" t="s">
        <v>116</v>
      </c>
      <c r="D80" s="11" t="n">
        <v>314</v>
      </c>
      <c r="E80" s="12" t="n">
        <v>133.46</v>
      </c>
      <c r="F80" s="9" t="n">
        <f aca="false">IFERROR(D80/E80,0)</f>
        <v>2.3527648733703</v>
      </c>
      <c r="G80" s="9" t="n">
        <f aca="false">E80*Parameters!$B$6</f>
        <v>200.19</v>
      </c>
      <c r="H80" s="9" t="n">
        <f aca="false">MAX(0,E80*Parameters!$B$7-D80)</f>
        <v>86.38</v>
      </c>
      <c r="I80" s="11" t="n">
        <v>148</v>
      </c>
      <c r="J80" s="9" t="n">
        <f aca="false">I80-H80</f>
        <v>61.62</v>
      </c>
      <c r="K80" s="13" t="n">
        <f aca="false">D80*N80</f>
        <v>6003.68</v>
      </c>
      <c r="L80" s="14" t="str">
        <f aca="false">IF(F80&lt;Parameters!$B$5,"Critical",IF(F80&lt;Parameters!$B$6,"Below Reorder",IF(F80&lt;=Parameters!$B$7,"Healthy","Excess")))</f>
        <v>Healthy</v>
      </c>
      <c r="M80" s="14" t="str">
        <f aca="false">IF(L80="Critical","REPLENISH NOW",IF(L80="Below Reorder","REPLENISH",IF(L80="Healthy","MAINTAIN","REDUCE STOCK")))</f>
        <v>MAINTAIN</v>
      </c>
      <c r="N80" s="12" t="n">
        <v>19.12</v>
      </c>
    </row>
    <row r="81" customFormat="false" ht="15" hidden="false" customHeight="false" outlineLevel="0" collapsed="false">
      <c r="A81" s="10" t="s">
        <v>184</v>
      </c>
      <c r="B81" s="10" t="s">
        <v>168</v>
      </c>
      <c r="C81" s="10" t="s">
        <v>118</v>
      </c>
      <c r="D81" s="11" t="n">
        <v>100</v>
      </c>
      <c r="E81" s="12" t="n">
        <v>141.21</v>
      </c>
      <c r="F81" s="9" t="n">
        <f aca="false">IFERROR(D81/E81,0)</f>
        <v>0.708165144111607</v>
      </c>
      <c r="G81" s="9" t="n">
        <f aca="false">E81*Parameters!$B$6</f>
        <v>211.815</v>
      </c>
      <c r="H81" s="9" t="n">
        <f aca="false">MAX(0,E81*Parameters!$B$7-D81)</f>
        <v>323.63</v>
      </c>
      <c r="I81" s="11" t="n">
        <v>99</v>
      </c>
      <c r="J81" s="9" t="n">
        <f aca="false">I81-H81</f>
        <v>-224.63</v>
      </c>
      <c r="K81" s="13" t="n">
        <f aca="false">D81*N81</f>
        <v>2061</v>
      </c>
      <c r="L81" s="14" t="str">
        <f aca="false">IF(F81&lt;Parameters!$B$5,"Critical",IF(F81&lt;Parameters!$B$6,"Below Reorder",IF(F81&lt;=Parameters!$B$7,"Healthy","Excess")))</f>
        <v>Critical</v>
      </c>
      <c r="M81" s="14" t="str">
        <f aca="false">IF(L81="Critical","REPLENISH NOW",IF(L81="Below Reorder","REPLENISH",IF(L81="Healthy","MAINTAIN","REDUCE STOCK")))</f>
        <v>REPLENISH NOW</v>
      </c>
      <c r="N81" s="12" t="n">
        <v>20.61</v>
      </c>
    </row>
    <row r="82" customFormat="false" ht="15" hidden="false" customHeight="false" outlineLevel="0" collapsed="false">
      <c r="A82" s="10" t="s">
        <v>185</v>
      </c>
      <c r="B82" s="10" t="s">
        <v>168</v>
      </c>
      <c r="C82" s="10" t="s">
        <v>120</v>
      </c>
      <c r="D82" s="11" t="n">
        <v>83</v>
      </c>
      <c r="E82" s="12" t="n">
        <v>104.21</v>
      </c>
      <c r="F82" s="9" t="n">
        <f aca="false">IFERROR(D82/E82,0)</f>
        <v>0.796468669033682</v>
      </c>
      <c r="G82" s="9" t="n">
        <f aca="false">E82*Parameters!$B$6</f>
        <v>156.315</v>
      </c>
      <c r="H82" s="9" t="n">
        <f aca="false">MAX(0,E82*Parameters!$B$7-D82)</f>
        <v>229.63</v>
      </c>
      <c r="I82" s="11" t="n">
        <v>70</v>
      </c>
      <c r="J82" s="9" t="n">
        <f aca="false">I82-H82</f>
        <v>-159.63</v>
      </c>
      <c r="K82" s="13" t="n">
        <f aca="false">D82*N82</f>
        <v>6886.51</v>
      </c>
      <c r="L82" s="14" t="str">
        <f aca="false">IF(F82&lt;Parameters!$B$5,"Critical",IF(F82&lt;Parameters!$B$6,"Below Reorder",IF(F82&lt;=Parameters!$B$7,"Healthy","Excess")))</f>
        <v>Critical</v>
      </c>
      <c r="M82" s="14" t="str">
        <f aca="false">IF(L82="Critical","REPLENISH NOW",IF(L82="Below Reorder","REPLENISH",IF(L82="Healthy","MAINTAIN","REDUCE STOCK")))</f>
        <v>REPLENISH NOW</v>
      </c>
      <c r="N82" s="12" t="n">
        <v>82.97</v>
      </c>
    </row>
    <row r="83" customFormat="false" ht="15" hidden="false" customHeight="false" outlineLevel="0" collapsed="false">
      <c r="A83" s="10" t="s">
        <v>186</v>
      </c>
      <c r="B83" s="10" t="s">
        <v>168</v>
      </c>
      <c r="C83" s="10" t="s">
        <v>122</v>
      </c>
      <c r="D83" s="11" t="n">
        <v>65</v>
      </c>
      <c r="E83" s="12" t="n">
        <v>99.36</v>
      </c>
      <c r="F83" s="9" t="n">
        <f aca="false">IFERROR(D83/E83,0)</f>
        <v>0.654186795491143</v>
      </c>
      <c r="G83" s="9" t="n">
        <f aca="false">E83*Parameters!$B$6</f>
        <v>149.04</v>
      </c>
      <c r="H83" s="9" t="n">
        <f aca="false">MAX(0,E83*Parameters!$B$7-D83)</f>
        <v>233.08</v>
      </c>
      <c r="I83" s="11" t="n">
        <v>166</v>
      </c>
      <c r="J83" s="9" t="n">
        <f aca="false">I83-H83</f>
        <v>-67.08</v>
      </c>
      <c r="K83" s="13" t="n">
        <f aca="false">D83*N83</f>
        <v>3967.6</v>
      </c>
      <c r="L83" s="14" t="str">
        <f aca="false">IF(F83&lt;Parameters!$B$5,"Critical",IF(F83&lt;Parameters!$B$6,"Below Reorder",IF(F83&lt;=Parameters!$B$7,"Healthy","Excess")))</f>
        <v>Critical</v>
      </c>
      <c r="M83" s="14" t="str">
        <f aca="false">IF(L83="Critical","REPLENISH NOW",IF(L83="Below Reorder","REPLENISH",IF(L83="Healthy","MAINTAIN","REDUCE STOCK")))</f>
        <v>REPLENISH NOW</v>
      </c>
      <c r="N83" s="12" t="n">
        <v>61.04</v>
      </c>
    </row>
    <row r="84" customFormat="false" ht="15" hidden="false" customHeight="false" outlineLevel="0" collapsed="false">
      <c r="A84" s="10" t="s">
        <v>187</v>
      </c>
      <c r="B84" s="10" t="s">
        <v>168</v>
      </c>
      <c r="C84" s="10" t="s">
        <v>124</v>
      </c>
      <c r="D84" s="11" t="n">
        <v>249</v>
      </c>
      <c r="E84" s="12" t="n">
        <v>158.39</v>
      </c>
      <c r="F84" s="9" t="n">
        <f aca="false">IFERROR(D84/E84,0)</f>
        <v>1.57206894374645</v>
      </c>
      <c r="G84" s="9" t="n">
        <f aca="false">E84*Parameters!$B$6</f>
        <v>237.585</v>
      </c>
      <c r="H84" s="9" t="n">
        <f aca="false">MAX(0,E84*Parameters!$B$7-D84)</f>
        <v>226.17</v>
      </c>
      <c r="I84" s="11" t="n">
        <v>115</v>
      </c>
      <c r="J84" s="9" t="n">
        <f aca="false">I84-H84</f>
        <v>-111.17</v>
      </c>
      <c r="K84" s="13" t="n">
        <f aca="false">D84*N84</f>
        <v>8184.63</v>
      </c>
      <c r="L84" s="14" t="str">
        <f aca="false">IF(F84&lt;Parameters!$B$5,"Critical",IF(F84&lt;Parameters!$B$6,"Below Reorder",IF(F84&lt;=Parameters!$B$7,"Healthy","Excess")))</f>
        <v>Healthy</v>
      </c>
      <c r="M84" s="14" t="str">
        <f aca="false">IF(L84="Critical","REPLENISH NOW",IF(L84="Below Reorder","REPLENISH",IF(L84="Healthy","MAINTAIN","REDUCE STOCK")))</f>
        <v>MAINTAIN</v>
      </c>
      <c r="N84" s="12" t="n">
        <v>32.87</v>
      </c>
    </row>
    <row r="85" customFormat="false" ht="15" hidden="false" customHeight="false" outlineLevel="0" collapsed="false">
      <c r="A85" s="10" t="s">
        <v>188</v>
      </c>
      <c r="B85" s="10" t="s">
        <v>189</v>
      </c>
      <c r="C85" s="10" t="s">
        <v>86</v>
      </c>
      <c r="D85" s="11" t="n">
        <v>300</v>
      </c>
      <c r="E85" s="12" t="n">
        <v>100.79</v>
      </c>
      <c r="F85" s="9" t="n">
        <f aca="false">IFERROR(D85/E85,0)</f>
        <v>2.97648576247644</v>
      </c>
      <c r="G85" s="9" t="n">
        <f aca="false">E85*Parameters!$B$6</f>
        <v>151.185</v>
      </c>
      <c r="H85" s="9" t="n">
        <f aca="false">MAX(0,E85*Parameters!$B$7-D85)</f>
        <v>2.37</v>
      </c>
      <c r="I85" s="11" t="n">
        <v>69</v>
      </c>
      <c r="J85" s="9" t="n">
        <f aca="false">I85-H85</f>
        <v>66.63</v>
      </c>
      <c r="K85" s="13" t="n">
        <f aca="false">D85*N85</f>
        <v>29799</v>
      </c>
      <c r="L85" s="14" t="str">
        <f aca="false">IF(F85&lt;Parameters!$B$5,"Critical",IF(F85&lt;Parameters!$B$6,"Below Reorder",IF(F85&lt;=Parameters!$B$7,"Healthy","Excess")))</f>
        <v>Healthy</v>
      </c>
      <c r="M85" s="14" t="str">
        <f aca="false">IF(L85="Critical","REPLENISH NOW",IF(L85="Below Reorder","REPLENISH",IF(L85="Healthy","MAINTAIN","REDUCE STOCK")))</f>
        <v>MAINTAIN</v>
      </c>
      <c r="N85" s="12" t="n">
        <v>99.33</v>
      </c>
    </row>
    <row r="86" customFormat="false" ht="15" hidden="false" customHeight="false" outlineLevel="0" collapsed="false">
      <c r="A86" s="10" t="s">
        <v>190</v>
      </c>
      <c r="B86" s="10" t="s">
        <v>189</v>
      </c>
      <c r="C86" s="10" t="s">
        <v>88</v>
      </c>
      <c r="D86" s="11" t="n">
        <v>253</v>
      </c>
      <c r="E86" s="12" t="n">
        <v>185.5</v>
      </c>
      <c r="F86" s="9" t="n">
        <f aca="false">IFERROR(D86/E86,0)</f>
        <v>1.36388140161725</v>
      </c>
      <c r="G86" s="9" t="n">
        <f aca="false">E86*Parameters!$B$6</f>
        <v>278.25</v>
      </c>
      <c r="H86" s="9" t="n">
        <f aca="false">MAX(0,E86*Parameters!$B$7-D86)</f>
        <v>303.5</v>
      </c>
      <c r="I86" s="11" t="n">
        <v>80</v>
      </c>
      <c r="J86" s="9" t="n">
        <f aca="false">I86-H86</f>
        <v>-223.5</v>
      </c>
      <c r="K86" s="13" t="n">
        <f aca="false">D86*N86</f>
        <v>8844.88</v>
      </c>
      <c r="L86" s="14" t="str">
        <f aca="false">IF(F86&lt;Parameters!$B$5,"Critical",IF(F86&lt;Parameters!$B$6,"Below Reorder",IF(F86&lt;=Parameters!$B$7,"Healthy","Excess")))</f>
        <v>Below Reorder</v>
      </c>
      <c r="M86" s="14" t="str">
        <f aca="false">IF(L86="Critical","REPLENISH NOW",IF(L86="Below Reorder","REPLENISH",IF(L86="Healthy","MAINTAIN","REDUCE STOCK")))</f>
        <v>REPLENISH</v>
      </c>
      <c r="N86" s="12" t="n">
        <v>34.96</v>
      </c>
    </row>
    <row r="87" customFormat="false" ht="15" hidden="false" customHeight="false" outlineLevel="0" collapsed="false">
      <c r="A87" s="10" t="s">
        <v>191</v>
      </c>
      <c r="B87" s="10" t="s">
        <v>189</v>
      </c>
      <c r="C87" s="10" t="s">
        <v>90</v>
      </c>
      <c r="D87" s="11" t="n">
        <v>98</v>
      </c>
      <c r="E87" s="12" t="n">
        <v>148.82</v>
      </c>
      <c r="F87" s="9" t="n">
        <f aca="false">IFERROR(D87/E87,0)</f>
        <v>0.658513640639699</v>
      </c>
      <c r="G87" s="9" t="n">
        <f aca="false">E87*Parameters!$B$6</f>
        <v>223.23</v>
      </c>
      <c r="H87" s="9" t="n">
        <f aca="false">MAX(0,E87*Parameters!$B$7-D87)</f>
        <v>348.46</v>
      </c>
      <c r="I87" s="11" t="n">
        <v>118</v>
      </c>
      <c r="J87" s="9" t="n">
        <f aca="false">I87-H87</f>
        <v>-230.46</v>
      </c>
      <c r="K87" s="13" t="n">
        <f aca="false">D87*N87</f>
        <v>2368.66</v>
      </c>
      <c r="L87" s="14" t="str">
        <f aca="false">IF(F87&lt;Parameters!$B$5,"Critical",IF(F87&lt;Parameters!$B$6,"Below Reorder",IF(F87&lt;=Parameters!$B$7,"Healthy","Excess")))</f>
        <v>Critical</v>
      </c>
      <c r="M87" s="14" t="str">
        <f aca="false">IF(L87="Critical","REPLENISH NOW",IF(L87="Below Reorder","REPLENISH",IF(L87="Healthy","MAINTAIN","REDUCE STOCK")))</f>
        <v>REPLENISH NOW</v>
      </c>
      <c r="N87" s="12" t="n">
        <v>24.17</v>
      </c>
    </row>
    <row r="88" customFormat="false" ht="15" hidden="false" customHeight="false" outlineLevel="0" collapsed="false">
      <c r="A88" s="10" t="s">
        <v>192</v>
      </c>
      <c r="B88" s="10" t="s">
        <v>189</v>
      </c>
      <c r="C88" s="10" t="s">
        <v>92</v>
      </c>
      <c r="D88" s="11" t="n">
        <v>158</v>
      </c>
      <c r="E88" s="12" t="n">
        <v>141.89</v>
      </c>
      <c r="F88" s="9" t="n">
        <f aca="false">IFERROR(D88/E88,0)</f>
        <v>1.1135386567059</v>
      </c>
      <c r="G88" s="9" t="n">
        <f aca="false">E88*Parameters!$B$6</f>
        <v>212.835</v>
      </c>
      <c r="H88" s="9" t="n">
        <f aca="false">MAX(0,E88*Parameters!$B$7-D88)</f>
        <v>267.67</v>
      </c>
      <c r="I88" s="11" t="n">
        <v>193</v>
      </c>
      <c r="J88" s="9" t="n">
        <f aca="false">I88-H88</f>
        <v>-74.67</v>
      </c>
      <c r="K88" s="13" t="n">
        <f aca="false">D88*N88</f>
        <v>12211.82</v>
      </c>
      <c r="L88" s="14" t="str">
        <f aca="false">IF(F88&lt;Parameters!$B$5,"Critical",IF(F88&lt;Parameters!$B$6,"Below Reorder",IF(F88&lt;=Parameters!$B$7,"Healthy","Excess")))</f>
        <v>Below Reorder</v>
      </c>
      <c r="M88" s="14" t="str">
        <f aca="false">IF(L88="Critical","REPLENISH NOW",IF(L88="Below Reorder","REPLENISH",IF(L88="Healthy","MAINTAIN","REDUCE STOCK")))</f>
        <v>REPLENISH</v>
      </c>
      <c r="N88" s="12" t="n">
        <v>77.29</v>
      </c>
    </row>
    <row r="89" customFormat="false" ht="15" hidden="false" customHeight="false" outlineLevel="0" collapsed="false">
      <c r="A89" s="10" t="s">
        <v>193</v>
      </c>
      <c r="B89" s="10" t="s">
        <v>189</v>
      </c>
      <c r="C89" s="10" t="s">
        <v>94</v>
      </c>
      <c r="D89" s="11" t="n">
        <v>372</v>
      </c>
      <c r="E89" s="12" t="n">
        <v>147.43</v>
      </c>
      <c r="F89" s="9" t="n">
        <f aca="false">IFERROR(D89/E89,0)</f>
        <v>2.52323136403717</v>
      </c>
      <c r="G89" s="9" t="n">
        <f aca="false">E89*Parameters!$B$6</f>
        <v>221.145</v>
      </c>
      <c r="H89" s="9" t="n">
        <f aca="false">MAX(0,E89*Parameters!$B$7-D89)</f>
        <v>70.29</v>
      </c>
      <c r="I89" s="11" t="n">
        <v>143</v>
      </c>
      <c r="J89" s="9" t="n">
        <f aca="false">I89-H89</f>
        <v>72.71</v>
      </c>
      <c r="K89" s="13" t="n">
        <f aca="false">D89*N89</f>
        <v>35979.84</v>
      </c>
      <c r="L89" s="14" t="str">
        <f aca="false">IF(F89&lt;Parameters!$B$5,"Critical",IF(F89&lt;Parameters!$B$6,"Below Reorder",IF(F89&lt;=Parameters!$B$7,"Healthy","Excess")))</f>
        <v>Healthy</v>
      </c>
      <c r="M89" s="14" t="str">
        <f aca="false">IF(L89="Critical","REPLENISH NOW",IF(L89="Below Reorder","REPLENISH",IF(L89="Healthy","MAINTAIN","REDUCE STOCK")))</f>
        <v>MAINTAIN</v>
      </c>
      <c r="N89" s="12" t="n">
        <v>96.72</v>
      </c>
    </row>
    <row r="90" customFormat="false" ht="15" hidden="false" customHeight="false" outlineLevel="0" collapsed="false">
      <c r="A90" s="10" t="s">
        <v>194</v>
      </c>
      <c r="B90" s="10" t="s">
        <v>189</v>
      </c>
      <c r="C90" s="10" t="s">
        <v>96</v>
      </c>
      <c r="D90" s="11" t="n">
        <v>491</v>
      </c>
      <c r="E90" s="12" t="n">
        <v>164.07</v>
      </c>
      <c r="F90" s="9" t="n">
        <f aca="false">IFERROR(D90/E90,0)</f>
        <v>2.99262509904309</v>
      </c>
      <c r="G90" s="9" t="n">
        <f aca="false">E90*Parameters!$B$6</f>
        <v>246.105</v>
      </c>
      <c r="H90" s="9" t="n">
        <f aca="false">MAX(0,E90*Parameters!$B$7-D90)</f>
        <v>1.20999999999998</v>
      </c>
      <c r="I90" s="11" t="n">
        <v>100</v>
      </c>
      <c r="J90" s="9" t="n">
        <f aca="false">I90-H90</f>
        <v>98.79</v>
      </c>
      <c r="K90" s="13" t="n">
        <f aca="false">D90*N90</f>
        <v>35008.3</v>
      </c>
      <c r="L90" s="14" t="str">
        <f aca="false">IF(F90&lt;Parameters!$B$5,"Critical",IF(F90&lt;Parameters!$B$6,"Below Reorder",IF(F90&lt;=Parameters!$B$7,"Healthy","Excess")))</f>
        <v>Healthy</v>
      </c>
      <c r="M90" s="14" t="str">
        <f aca="false">IF(L90="Critical","REPLENISH NOW",IF(L90="Below Reorder","REPLENISH",IF(L90="Healthy","MAINTAIN","REDUCE STOCK")))</f>
        <v>MAINTAIN</v>
      </c>
      <c r="N90" s="12" t="n">
        <v>71.3</v>
      </c>
    </row>
    <row r="91" customFormat="false" ht="15" hidden="false" customHeight="false" outlineLevel="0" collapsed="false">
      <c r="A91" s="10" t="s">
        <v>195</v>
      </c>
      <c r="B91" s="10" t="s">
        <v>189</v>
      </c>
      <c r="C91" s="10" t="s">
        <v>98</v>
      </c>
      <c r="D91" s="11" t="n">
        <v>59</v>
      </c>
      <c r="E91" s="12" t="n">
        <v>132.79</v>
      </c>
      <c r="F91" s="9" t="n">
        <f aca="false">IFERROR(D91/E91,0)</f>
        <v>0.444310565554635</v>
      </c>
      <c r="G91" s="9" t="n">
        <f aca="false">E91*Parameters!$B$6</f>
        <v>199.185</v>
      </c>
      <c r="H91" s="9" t="n">
        <f aca="false">MAX(0,E91*Parameters!$B$7-D91)</f>
        <v>339.37</v>
      </c>
      <c r="I91" s="11" t="n">
        <v>34</v>
      </c>
      <c r="J91" s="9" t="n">
        <f aca="false">I91-H91</f>
        <v>-305.37</v>
      </c>
      <c r="K91" s="13" t="n">
        <f aca="false">D91*N91</f>
        <v>3665.08</v>
      </c>
      <c r="L91" s="14" t="str">
        <f aca="false">IF(F91&lt;Parameters!$B$5,"Critical",IF(F91&lt;Parameters!$B$6,"Below Reorder",IF(F91&lt;=Parameters!$B$7,"Healthy","Excess")))</f>
        <v>Critical</v>
      </c>
      <c r="M91" s="14" t="str">
        <f aca="false">IF(L91="Critical","REPLENISH NOW",IF(L91="Below Reorder","REPLENISH",IF(L91="Healthy","MAINTAIN","REDUCE STOCK")))</f>
        <v>REPLENISH NOW</v>
      </c>
      <c r="N91" s="12" t="n">
        <v>62.12</v>
      </c>
    </row>
    <row r="92" customFormat="false" ht="15" hidden="false" customHeight="false" outlineLevel="0" collapsed="false">
      <c r="A92" s="10" t="s">
        <v>196</v>
      </c>
      <c r="B92" s="10" t="s">
        <v>189</v>
      </c>
      <c r="C92" s="10" t="s">
        <v>100</v>
      </c>
      <c r="D92" s="11" t="n">
        <v>409</v>
      </c>
      <c r="E92" s="12" t="n">
        <v>152.14</v>
      </c>
      <c r="F92" s="9" t="n">
        <f aca="false">IFERROR(D92/E92,0)</f>
        <v>2.68831339555672</v>
      </c>
      <c r="G92" s="9" t="n">
        <f aca="false">E92*Parameters!$B$6</f>
        <v>228.21</v>
      </c>
      <c r="H92" s="9" t="n">
        <f aca="false">MAX(0,E92*Parameters!$B$7-D92)</f>
        <v>47.42</v>
      </c>
      <c r="I92" s="11" t="n">
        <v>49</v>
      </c>
      <c r="J92" s="9" t="n">
        <f aca="false">I92-H92</f>
        <v>1.58000000000004</v>
      </c>
      <c r="K92" s="13" t="n">
        <f aca="false">D92*N92</f>
        <v>25938.78</v>
      </c>
      <c r="L92" s="14" t="str">
        <f aca="false">IF(F92&lt;Parameters!$B$5,"Critical",IF(F92&lt;Parameters!$B$6,"Below Reorder",IF(F92&lt;=Parameters!$B$7,"Healthy","Excess")))</f>
        <v>Healthy</v>
      </c>
      <c r="M92" s="14" t="str">
        <f aca="false">IF(L92="Critical","REPLENISH NOW",IF(L92="Below Reorder","REPLENISH",IF(L92="Healthy","MAINTAIN","REDUCE STOCK")))</f>
        <v>MAINTAIN</v>
      </c>
      <c r="N92" s="12" t="n">
        <v>63.42</v>
      </c>
    </row>
    <row r="93" customFormat="false" ht="15" hidden="false" customHeight="false" outlineLevel="0" collapsed="false">
      <c r="A93" s="10" t="s">
        <v>197</v>
      </c>
      <c r="B93" s="10" t="s">
        <v>189</v>
      </c>
      <c r="C93" s="10" t="s">
        <v>102</v>
      </c>
      <c r="D93" s="11" t="n">
        <v>319</v>
      </c>
      <c r="E93" s="12" t="n">
        <v>117.86</v>
      </c>
      <c r="F93" s="9" t="n">
        <f aca="false">IFERROR(D93/E93,0)</f>
        <v>2.70660105209571</v>
      </c>
      <c r="G93" s="9" t="n">
        <f aca="false">E93*Parameters!$B$6</f>
        <v>176.79</v>
      </c>
      <c r="H93" s="9" t="n">
        <f aca="false">MAX(0,E93*Parameters!$B$7-D93)</f>
        <v>34.58</v>
      </c>
      <c r="I93" s="11" t="n">
        <v>31</v>
      </c>
      <c r="J93" s="9" t="n">
        <f aca="false">I93-H93</f>
        <v>-3.57999999999998</v>
      </c>
      <c r="K93" s="13" t="n">
        <f aca="false">D93*N93</f>
        <v>27976.3</v>
      </c>
      <c r="L93" s="14" t="str">
        <f aca="false">IF(F93&lt;Parameters!$B$5,"Critical",IF(F93&lt;Parameters!$B$6,"Below Reorder",IF(F93&lt;=Parameters!$B$7,"Healthy","Excess")))</f>
        <v>Healthy</v>
      </c>
      <c r="M93" s="14" t="str">
        <f aca="false">IF(L93="Critical","REPLENISH NOW",IF(L93="Below Reorder","REPLENISH",IF(L93="Healthy","MAINTAIN","REDUCE STOCK")))</f>
        <v>MAINTAIN</v>
      </c>
      <c r="N93" s="12" t="n">
        <v>87.7</v>
      </c>
    </row>
    <row r="94" customFormat="false" ht="15" hidden="false" customHeight="false" outlineLevel="0" collapsed="false">
      <c r="A94" s="10" t="s">
        <v>198</v>
      </c>
      <c r="B94" s="10" t="s">
        <v>189</v>
      </c>
      <c r="C94" s="10" t="s">
        <v>104</v>
      </c>
      <c r="D94" s="11" t="n">
        <v>308</v>
      </c>
      <c r="E94" s="12" t="n">
        <v>141.75</v>
      </c>
      <c r="F94" s="9" t="n">
        <f aca="false">IFERROR(D94/E94,0)</f>
        <v>2.17283950617284</v>
      </c>
      <c r="G94" s="9" t="n">
        <f aca="false">E94*Parameters!$B$6</f>
        <v>212.625</v>
      </c>
      <c r="H94" s="9" t="n">
        <f aca="false">MAX(0,E94*Parameters!$B$7-D94)</f>
        <v>117.25</v>
      </c>
      <c r="I94" s="11" t="n">
        <v>94</v>
      </c>
      <c r="J94" s="9" t="n">
        <f aca="false">I94-H94</f>
        <v>-23.25</v>
      </c>
      <c r="K94" s="13" t="n">
        <f aca="false">D94*N94</f>
        <v>5913.6</v>
      </c>
      <c r="L94" s="14" t="str">
        <f aca="false">IF(F94&lt;Parameters!$B$5,"Critical",IF(F94&lt;Parameters!$B$6,"Below Reorder",IF(F94&lt;=Parameters!$B$7,"Healthy","Excess")))</f>
        <v>Healthy</v>
      </c>
      <c r="M94" s="14" t="str">
        <f aca="false">IF(L94="Critical","REPLENISH NOW",IF(L94="Below Reorder","REPLENISH",IF(L94="Healthy","MAINTAIN","REDUCE STOCK")))</f>
        <v>MAINTAIN</v>
      </c>
      <c r="N94" s="12" t="n">
        <v>19.2</v>
      </c>
    </row>
    <row r="95" customFormat="false" ht="15" hidden="false" customHeight="false" outlineLevel="0" collapsed="false">
      <c r="A95" s="10" t="s">
        <v>199</v>
      </c>
      <c r="B95" s="10" t="s">
        <v>189</v>
      </c>
      <c r="C95" s="10" t="s">
        <v>106</v>
      </c>
      <c r="D95" s="11" t="n">
        <v>156</v>
      </c>
      <c r="E95" s="12" t="n">
        <v>102.14</v>
      </c>
      <c r="F95" s="9" t="n">
        <f aca="false">IFERROR(D95/E95,0)</f>
        <v>1.5273154493832</v>
      </c>
      <c r="G95" s="9" t="n">
        <f aca="false">E95*Parameters!$B$6</f>
        <v>153.21</v>
      </c>
      <c r="H95" s="9" t="n">
        <f aca="false">MAX(0,E95*Parameters!$B$7-D95)</f>
        <v>150.42</v>
      </c>
      <c r="I95" s="11" t="n">
        <v>156</v>
      </c>
      <c r="J95" s="9" t="n">
        <f aca="false">I95-H95</f>
        <v>5.57999999999998</v>
      </c>
      <c r="K95" s="13" t="n">
        <f aca="false">D95*N95</f>
        <v>13430.04</v>
      </c>
      <c r="L95" s="14" t="str">
        <f aca="false">IF(F95&lt;Parameters!$B$5,"Critical",IF(F95&lt;Parameters!$B$6,"Below Reorder",IF(F95&lt;=Parameters!$B$7,"Healthy","Excess")))</f>
        <v>Healthy</v>
      </c>
      <c r="M95" s="14" t="str">
        <f aca="false">IF(L95="Critical","REPLENISH NOW",IF(L95="Below Reorder","REPLENISH",IF(L95="Healthy","MAINTAIN","REDUCE STOCK")))</f>
        <v>MAINTAIN</v>
      </c>
      <c r="N95" s="12" t="n">
        <v>86.09</v>
      </c>
    </row>
    <row r="96" customFormat="false" ht="15" hidden="false" customHeight="false" outlineLevel="0" collapsed="false">
      <c r="A96" s="10" t="s">
        <v>200</v>
      </c>
      <c r="B96" s="10" t="s">
        <v>189</v>
      </c>
      <c r="C96" s="10" t="s">
        <v>108</v>
      </c>
      <c r="D96" s="11" t="n">
        <v>495</v>
      </c>
      <c r="E96" s="12" t="n">
        <v>132.25</v>
      </c>
      <c r="F96" s="9" t="n">
        <f aca="false">IFERROR(D96/E96,0)</f>
        <v>3.74291115311909</v>
      </c>
      <c r="G96" s="9" t="n">
        <f aca="false">E96*Parameters!$B$6</f>
        <v>198.375</v>
      </c>
      <c r="H96" s="9" t="n">
        <f aca="false">MAX(0,E96*Parameters!$B$7-D96)</f>
        <v>0</v>
      </c>
      <c r="I96" s="11" t="n">
        <v>42</v>
      </c>
      <c r="J96" s="9" t="n">
        <f aca="false">I96-H96</f>
        <v>42</v>
      </c>
      <c r="K96" s="13" t="n">
        <f aca="false">D96*N96</f>
        <v>18285.3</v>
      </c>
      <c r="L96" s="14" t="str">
        <f aca="false">IF(F96&lt;Parameters!$B$5,"Critical",IF(F96&lt;Parameters!$B$6,"Below Reorder",IF(F96&lt;=Parameters!$B$7,"Healthy","Excess")))</f>
        <v>Excess</v>
      </c>
      <c r="M96" s="14" t="str">
        <f aca="false">IF(L96="Critical","REPLENISH NOW",IF(L96="Below Reorder","REPLENISH",IF(L96="Healthy","MAINTAIN","REDUCE STOCK")))</f>
        <v>REDUCE STOCK</v>
      </c>
      <c r="N96" s="12" t="n">
        <v>36.94</v>
      </c>
    </row>
    <row r="97" customFormat="false" ht="15" hidden="false" customHeight="false" outlineLevel="0" collapsed="false">
      <c r="A97" s="10" t="s">
        <v>201</v>
      </c>
      <c r="B97" s="10" t="s">
        <v>189</v>
      </c>
      <c r="C97" s="10" t="s">
        <v>110</v>
      </c>
      <c r="D97" s="11" t="n">
        <v>389</v>
      </c>
      <c r="E97" s="12" t="n">
        <v>177.29</v>
      </c>
      <c r="F97" s="9" t="n">
        <f aca="false">IFERROR(D97/E97,0)</f>
        <v>2.19414518585369</v>
      </c>
      <c r="G97" s="9" t="n">
        <f aca="false">E97*Parameters!$B$6</f>
        <v>265.935</v>
      </c>
      <c r="H97" s="9" t="n">
        <f aca="false">MAX(0,E97*Parameters!$B$7-D97)</f>
        <v>142.87</v>
      </c>
      <c r="I97" s="11" t="n">
        <v>99</v>
      </c>
      <c r="J97" s="9" t="n">
        <f aca="false">I97-H97</f>
        <v>-43.87</v>
      </c>
      <c r="K97" s="13" t="n">
        <f aca="false">D97*N97</f>
        <v>12467.45</v>
      </c>
      <c r="L97" s="14" t="str">
        <f aca="false">IF(F97&lt;Parameters!$B$5,"Critical",IF(F97&lt;Parameters!$B$6,"Below Reorder",IF(F97&lt;=Parameters!$B$7,"Healthy","Excess")))</f>
        <v>Healthy</v>
      </c>
      <c r="M97" s="14" t="str">
        <f aca="false">IF(L97="Critical","REPLENISH NOW",IF(L97="Below Reorder","REPLENISH",IF(L97="Healthy","MAINTAIN","REDUCE STOCK")))</f>
        <v>MAINTAIN</v>
      </c>
      <c r="N97" s="12" t="n">
        <v>32.05</v>
      </c>
    </row>
    <row r="98" customFormat="false" ht="15" hidden="false" customHeight="false" outlineLevel="0" collapsed="false">
      <c r="A98" s="10" t="s">
        <v>202</v>
      </c>
      <c r="B98" s="10" t="s">
        <v>189</v>
      </c>
      <c r="C98" s="10" t="s">
        <v>112</v>
      </c>
      <c r="D98" s="11" t="n">
        <v>328</v>
      </c>
      <c r="E98" s="12" t="n">
        <v>149.64</v>
      </c>
      <c r="F98" s="9" t="n">
        <f aca="false">IFERROR(D98/E98,0)</f>
        <v>2.19192729216787</v>
      </c>
      <c r="G98" s="9" t="n">
        <f aca="false">E98*Parameters!$B$6</f>
        <v>224.46</v>
      </c>
      <c r="H98" s="9" t="n">
        <f aca="false">MAX(0,E98*Parameters!$B$7-D98)</f>
        <v>120.92</v>
      </c>
      <c r="I98" s="11" t="n">
        <v>43</v>
      </c>
      <c r="J98" s="9" t="n">
        <f aca="false">I98-H98</f>
        <v>-77.92</v>
      </c>
      <c r="K98" s="13" t="n">
        <f aca="false">D98*N98</f>
        <v>21812</v>
      </c>
      <c r="L98" s="14" t="str">
        <f aca="false">IF(F98&lt;Parameters!$B$5,"Critical",IF(F98&lt;Parameters!$B$6,"Below Reorder",IF(F98&lt;=Parameters!$B$7,"Healthy","Excess")))</f>
        <v>Healthy</v>
      </c>
      <c r="M98" s="14" t="str">
        <f aca="false">IF(L98="Critical","REPLENISH NOW",IF(L98="Below Reorder","REPLENISH",IF(L98="Healthy","MAINTAIN","REDUCE STOCK")))</f>
        <v>MAINTAIN</v>
      </c>
      <c r="N98" s="12" t="n">
        <v>66.5</v>
      </c>
    </row>
    <row r="99" customFormat="false" ht="15" hidden="false" customHeight="false" outlineLevel="0" collapsed="false">
      <c r="A99" s="10" t="s">
        <v>203</v>
      </c>
      <c r="B99" s="10" t="s">
        <v>189</v>
      </c>
      <c r="C99" s="10" t="s">
        <v>114</v>
      </c>
      <c r="D99" s="11" t="n">
        <v>408</v>
      </c>
      <c r="E99" s="12" t="n">
        <v>129.14</v>
      </c>
      <c r="F99" s="9" t="n">
        <f aca="false">IFERROR(D99/E99,0)</f>
        <v>3.15936193278612</v>
      </c>
      <c r="G99" s="9" t="n">
        <f aca="false">E99*Parameters!$B$6</f>
        <v>193.71</v>
      </c>
      <c r="H99" s="9" t="n">
        <f aca="false">MAX(0,E99*Parameters!$B$7-D99)</f>
        <v>0</v>
      </c>
      <c r="I99" s="11" t="n">
        <v>92</v>
      </c>
      <c r="J99" s="9" t="n">
        <f aca="false">I99-H99</f>
        <v>92</v>
      </c>
      <c r="K99" s="13" t="n">
        <f aca="false">D99*N99</f>
        <v>33970.08</v>
      </c>
      <c r="L99" s="14" t="str">
        <f aca="false">IF(F99&lt;Parameters!$B$5,"Critical",IF(F99&lt;Parameters!$B$6,"Below Reorder",IF(F99&lt;=Parameters!$B$7,"Healthy","Excess")))</f>
        <v>Excess</v>
      </c>
      <c r="M99" s="14" t="str">
        <f aca="false">IF(L99="Critical","REPLENISH NOW",IF(L99="Below Reorder","REPLENISH",IF(L99="Healthy","MAINTAIN","REDUCE STOCK")))</f>
        <v>REDUCE STOCK</v>
      </c>
      <c r="N99" s="12" t="n">
        <v>83.26</v>
      </c>
    </row>
    <row r="100" customFormat="false" ht="15" hidden="false" customHeight="false" outlineLevel="0" collapsed="false">
      <c r="A100" s="10" t="s">
        <v>204</v>
      </c>
      <c r="B100" s="10" t="s">
        <v>189</v>
      </c>
      <c r="C100" s="10" t="s">
        <v>116</v>
      </c>
      <c r="D100" s="11" t="n">
        <v>96</v>
      </c>
      <c r="E100" s="12" t="n">
        <v>142.43</v>
      </c>
      <c r="F100" s="9" t="n">
        <f aca="false">IFERROR(D100/E100,0)</f>
        <v>0.674015305764235</v>
      </c>
      <c r="G100" s="9" t="n">
        <f aca="false">E100*Parameters!$B$6</f>
        <v>213.645</v>
      </c>
      <c r="H100" s="9" t="n">
        <f aca="false">MAX(0,E100*Parameters!$B$7-D100)</f>
        <v>331.29</v>
      </c>
      <c r="I100" s="11" t="n">
        <v>127</v>
      </c>
      <c r="J100" s="9" t="n">
        <f aca="false">I100-H100</f>
        <v>-204.29</v>
      </c>
      <c r="K100" s="13" t="n">
        <f aca="false">D100*N100</f>
        <v>7078.08</v>
      </c>
      <c r="L100" s="14" t="str">
        <f aca="false">IF(F100&lt;Parameters!$B$5,"Critical",IF(F100&lt;Parameters!$B$6,"Below Reorder",IF(F100&lt;=Parameters!$B$7,"Healthy","Excess")))</f>
        <v>Critical</v>
      </c>
      <c r="M100" s="14" t="str">
        <f aca="false">IF(L100="Critical","REPLENISH NOW",IF(L100="Below Reorder","REPLENISH",IF(L100="Healthy","MAINTAIN","REDUCE STOCK")))</f>
        <v>REPLENISH NOW</v>
      </c>
      <c r="N100" s="12" t="n">
        <v>73.73</v>
      </c>
    </row>
    <row r="101" customFormat="false" ht="15" hidden="false" customHeight="false" outlineLevel="0" collapsed="false">
      <c r="A101" s="10" t="s">
        <v>205</v>
      </c>
      <c r="B101" s="10" t="s">
        <v>189</v>
      </c>
      <c r="C101" s="10" t="s">
        <v>118</v>
      </c>
      <c r="D101" s="11" t="n">
        <v>313</v>
      </c>
      <c r="E101" s="12" t="n">
        <v>129.75</v>
      </c>
      <c r="F101" s="9" t="n">
        <f aca="false">IFERROR(D101/E101,0)</f>
        <v>2.41233140655106</v>
      </c>
      <c r="G101" s="9" t="n">
        <f aca="false">E101*Parameters!$B$6</f>
        <v>194.625</v>
      </c>
      <c r="H101" s="9" t="n">
        <f aca="false">MAX(0,E101*Parameters!$B$7-D101)</f>
        <v>76.25</v>
      </c>
      <c r="I101" s="11" t="n">
        <v>101</v>
      </c>
      <c r="J101" s="9" t="n">
        <f aca="false">I101-H101</f>
        <v>24.75</v>
      </c>
      <c r="K101" s="13" t="n">
        <f aca="false">D101*N101</f>
        <v>25844.41</v>
      </c>
      <c r="L101" s="14" t="str">
        <f aca="false">IF(F101&lt;Parameters!$B$5,"Critical",IF(F101&lt;Parameters!$B$6,"Below Reorder",IF(F101&lt;=Parameters!$B$7,"Healthy","Excess")))</f>
        <v>Healthy</v>
      </c>
      <c r="M101" s="14" t="str">
        <f aca="false">IF(L101="Critical","REPLENISH NOW",IF(L101="Below Reorder","REPLENISH",IF(L101="Healthy","MAINTAIN","REDUCE STOCK")))</f>
        <v>MAINTAIN</v>
      </c>
      <c r="N101" s="12" t="n">
        <v>82.57</v>
      </c>
    </row>
    <row r="102" customFormat="false" ht="15" hidden="false" customHeight="false" outlineLevel="0" collapsed="false">
      <c r="A102" s="10" t="s">
        <v>206</v>
      </c>
      <c r="B102" s="10" t="s">
        <v>189</v>
      </c>
      <c r="C102" s="10" t="s">
        <v>120</v>
      </c>
      <c r="D102" s="11" t="n">
        <v>278</v>
      </c>
      <c r="E102" s="12" t="n">
        <v>102.39</v>
      </c>
      <c r="F102" s="9" t="n">
        <f aca="false">IFERROR(D102/E102,0)</f>
        <v>2.71510889735326</v>
      </c>
      <c r="G102" s="9" t="n">
        <f aca="false">E102*Parameters!$B$6</f>
        <v>153.585</v>
      </c>
      <c r="H102" s="9" t="n">
        <f aca="false">MAX(0,E102*Parameters!$B$7-D102)</f>
        <v>29.17</v>
      </c>
      <c r="I102" s="11" t="n">
        <v>151</v>
      </c>
      <c r="J102" s="9" t="n">
        <f aca="false">I102-H102</f>
        <v>121.83</v>
      </c>
      <c r="K102" s="13" t="n">
        <f aca="false">D102*N102</f>
        <v>3088.58</v>
      </c>
      <c r="L102" s="14" t="str">
        <f aca="false">IF(F102&lt;Parameters!$B$5,"Critical",IF(F102&lt;Parameters!$B$6,"Below Reorder",IF(F102&lt;=Parameters!$B$7,"Healthy","Excess")))</f>
        <v>Healthy</v>
      </c>
      <c r="M102" s="14" t="str">
        <f aca="false">IF(L102="Critical","REPLENISH NOW",IF(L102="Below Reorder","REPLENISH",IF(L102="Healthy","MAINTAIN","REDUCE STOCK")))</f>
        <v>MAINTAIN</v>
      </c>
      <c r="N102" s="12" t="n">
        <v>11.11</v>
      </c>
    </row>
    <row r="103" customFormat="false" ht="15" hidden="false" customHeight="false" outlineLevel="0" collapsed="false">
      <c r="A103" s="10" t="s">
        <v>207</v>
      </c>
      <c r="B103" s="10" t="s">
        <v>189</v>
      </c>
      <c r="C103" s="10" t="s">
        <v>122</v>
      </c>
      <c r="D103" s="11" t="n">
        <v>374</v>
      </c>
      <c r="E103" s="12" t="n">
        <v>138.82</v>
      </c>
      <c r="F103" s="9" t="n">
        <f aca="false">IFERROR(D103/E103,0)</f>
        <v>2.69413629160063</v>
      </c>
      <c r="G103" s="9" t="n">
        <f aca="false">E103*Parameters!$B$6</f>
        <v>208.23</v>
      </c>
      <c r="H103" s="9" t="n">
        <f aca="false">MAX(0,E103*Parameters!$B$7-D103)</f>
        <v>42.46</v>
      </c>
      <c r="I103" s="11" t="n">
        <v>21</v>
      </c>
      <c r="J103" s="9" t="n">
        <f aca="false">I103-H103</f>
        <v>-21.46</v>
      </c>
      <c r="K103" s="13" t="n">
        <f aca="false">D103*N103</f>
        <v>19874.36</v>
      </c>
      <c r="L103" s="14" t="str">
        <f aca="false">IF(F103&lt;Parameters!$B$5,"Critical",IF(F103&lt;Parameters!$B$6,"Below Reorder",IF(F103&lt;=Parameters!$B$7,"Healthy","Excess")))</f>
        <v>Healthy</v>
      </c>
      <c r="M103" s="14" t="str">
        <f aca="false">IF(L103="Critical","REPLENISH NOW",IF(L103="Below Reorder","REPLENISH",IF(L103="Healthy","MAINTAIN","REDUCE STOCK")))</f>
        <v>MAINTAIN</v>
      </c>
      <c r="N103" s="12" t="n">
        <v>53.14</v>
      </c>
    </row>
    <row r="104" customFormat="false" ht="15" hidden="false" customHeight="false" outlineLevel="0" collapsed="false">
      <c r="A104" s="10" t="s">
        <v>208</v>
      </c>
      <c r="B104" s="10" t="s">
        <v>189</v>
      </c>
      <c r="C104" s="10" t="s">
        <v>124</v>
      </c>
      <c r="D104" s="11" t="n">
        <v>117</v>
      </c>
      <c r="E104" s="12" t="n">
        <v>132.39</v>
      </c>
      <c r="F104" s="9" t="n">
        <f aca="false">IFERROR(D104/E104,0)</f>
        <v>0.8837525492862</v>
      </c>
      <c r="G104" s="9" t="n">
        <f aca="false">E104*Parameters!$B$6</f>
        <v>198.585</v>
      </c>
      <c r="H104" s="9" t="n">
        <f aca="false">MAX(0,E104*Parameters!$B$7-D104)</f>
        <v>280.17</v>
      </c>
      <c r="I104" s="11" t="n">
        <v>165</v>
      </c>
      <c r="J104" s="9" t="n">
        <f aca="false">I104-H104</f>
        <v>-115.17</v>
      </c>
      <c r="K104" s="13" t="n">
        <f aca="false">D104*N104</f>
        <v>9171.63</v>
      </c>
      <c r="L104" s="14" t="str">
        <f aca="false">IF(F104&lt;Parameters!$B$5,"Critical",IF(F104&lt;Parameters!$B$6,"Below Reorder",IF(F104&lt;=Parameters!$B$7,"Healthy","Excess")))</f>
        <v>Critical</v>
      </c>
      <c r="M104" s="14" t="str">
        <f aca="false">IF(L104="Critical","REPLENISH NOW",IF(L104="Below Reorder","REPLENISH",IF(L104="Healthy","MAINTAIN","REDUCE STOCK")))</f>
        <v>REPLENISH NOW</v>
      </c>
      <c r="N104" s="12" t="n">
        <v>78.39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1" min="8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7"/>
    <col collapsed="false" customWidth="true" hidden="false" outlineLevel="0" max="19" min="18" style="0" width="13"/>
    <col collapsed="false" customWidth="true" hidden="false" outlineLevel="0" max="21" min="20" style="0" width="17"/>
    <col collapsed="false" customWidth="true" hidden="false" outlineLevel="0" max="22" min="22" style="0" width="20"/>
  </cols>
  <sheetData>
    <row r="1" customFormat="false" ht="17.35" hidden="false" customHeight="false" outlineLevel="0" collapsed="false">
      <c r="A1" s="6" t="s">
        <v>209</v>
      </c>
    </row>
    <row r="2" customFormat="false" ht="15" hidden="false" customHeight="false" outlineLevel="0" collapsed="false">
      <c r="A2" s="2" t="s">
        <v>210</v>
      </c>
    </row>
    <row r="4" customFormat="false" ht="43.5" hidden="false" customHeight="true" outlineLevel="0" collapsed="false">
      <c r="A4" s="7" t="s">
        <v>70</v>
      </c>
      <c r="B4" s="7" t="s">
        <v>71</v>
      </c>
      <c r="C4" s="7" t="s">
        <v>72</v>
      </c>
      <c r="D4" s="7" t="s">
        <v>211</v>
      </c>
      <c r="E4" s="7" t="s">
        <v>74</v>
      </c>
      <c r="F4" s="7" t="s">
        <v>212</v>
      </c>
      <c r="G4" s="7" t="s">
        <v>213</v>
      </c>
      <c r="H4" s="7" t="s">
        <v>214</v>
      </c>
      <c r="I4" s="7" t="s">
        <v>215</v>
      </c>
      <c r="J4" s="7" t="s">
        <v>216</v>
      </c>
      <c r="K4" s="7" t="s">
        <v>217</v>
      </c>
      <c r="L4" s="7" t="s">
        <v>218</v>
      </c>
      <c r="M4" s="7" t="s">
        <v>219</v>
      </c>
      <c r="N4" s="7" t="s">
        <v>220</v>
      </c>
      <c r="O4" s="7" t="s">
        <v>221</v>
      </c>
      <c r="P4" s="7" t="s">
        <v>222</v>
      </c>
      <c r="Q4" s="7" t="s">
        <v>223</v>
      </c>
      <c r="R4" s="7" t="s">
        <v>224</v>
      </c>
      <c r="S4" s="7" t="s">
        <v>225</v>
      </c>
      <c r="T4" s="7" t="s">
        <v>226</v>
      </c>
      <c r="U4" s="7" t="s">
        <v>227</v>
      </c>
      <c r="V4" s="7" t="s">
        <v>228</v>
      </c>
    </row>
    <row r="5" customFormat="false" ht="15" hidden="false" customHeight="false" outlineLevel="0" collapsed="false">
      <c r="A5" s="10" t="s">
        <v>84</v>
      </c>
      <c r="B5" s="10" t="s">
        <v>85</v>
      </c>
      <c r="C5" s="10" t="s">
        <v>86</v>
      </c>
      <c r="D5" s="11" t="n">
        <v>100371</v>
      </c>
      <c r="E5" s="12" t="n">
        <v>137.31</v>
      </c>
      <c r="F5" s="12" t="n">
        <v>108.19</v>
      </c>
      <c r="G5" s="12" t="n">
        <v>272.82</v>
      </c>
      <c r="H5" s="12" t="n">
        <v>55.16</v>
      </c>
      <c r="I5" s="11" t="n">
        <v>147</v>
      </c>
      <c r="J5" s="11" t="n">
        <v>138</v>
      </c>
      <c r="K5" s="11" t="n">
        <v>3</v>
      </c>
      <c r="L5" s="11" t="n">
        <v>30</v>
      </c>
      <c r="M5" s="12" t="n">
        <v>189.7</v>
      </c>
      <c r="N5" s="12" t="n">
        <v>5.76</v>
      </c>
      <c r="O5" s="9" t="n">
        <f aca="false">IFERROR(D5/G5/(Parameters!$B$8/Parameters!$B$9),0)</f>
        <v>183.825135226937</v>
      </c>
      <c r="P5" s="9" t="n">
        <f aca="false">IFERROR(G5/E5,0)</f>
        <v>1.98689097662224</v>
      </c>
      <c r="Q5" s="13" t="n">
        <f aca="false">G5*H5</f>
        <v>15048.7512</v>
      </c>
      <c r="R5" s="15" t="n">
        <f aca="false">100*I5/Parameters!$B$8</f>
        <v>20.109439124487</v>
      </c>
      <c r="S5" s="15" t="n">
        <f aca="false">100*J5/Parameters!$B$8</f>
        <v>18.8782489740082</v>
      </c>
      <c r="T5" s="14" t="str">
        <f aca="false">IF(OR(R5&lt;Parameters!$B$16,R5&gt;Parameters!$B$17),"YES","no - within noise")</f>
        <v>no - within noise</v>
      </c>
      <c r="U5" s="14" t="str">
        <f aca="false">IF(OR(S5&lt;Parameters!$B$19,S5&gt;Parameters!$B$20),"YES","no - within noise")</f>
        <v>no - within noise</v>
      </c>
      <c r="V5" s="14" t="str">
        <f aca="false">IF(AND(T5="YES",R5&gt;Parameters!$B$17),"Watch - stockout",IF(AND(U5="YES",S5&gt;Parameters!$B$20),"Watch - excess capital","Routine"))</f>
        <v>Routine</v>
      </c>
    </row>
    <row r="6" customFormat="false" ht="15" hidden="false" customHeight="false" outlineLevel="0" collapsed="false">
      <c r="A6" s="10" t="s">
        <v>87</v>
      </c>
      <c r="B6" s="10" t="s">
        <v>85</v>
      </c>
      <c r="C6" s="10" t="s">
        <v>88</v>
      </c>
      <c r="D6" s="11" t="n">
        <v>95789</v>
      </c>
      <c r="E6" s="12" t="n">
        <v>131.04</v>
      </c>
      <c r="F6" s="12" t="n">
        <v>104.31</v>
      </c>
      <c r="G6" s="12" t="n">
        <v>272.66</v>
      </c>
      <c r="H6" s="12" t="n">
        <v>55.19</v>
      </c>
      <c r="I6" s="11" t="n">
        <v>124</v>
      </c>
      <c r="J6" s="11" t="n">
        <v>161</v>
      </c>
      <c r="K6" s="11" t="n">
        <v>6</v>
      </c>
      <c r="L6" s="11" t="n">
        <v>22</v>
      </c>
      <c r="M6" s="12" t="n">
        <v>183.5</v>
      </c>
      <c r="N6" s="12" t="n">
        <v>5.38</v>
      </c>
      <c r="O6" s="9" t="n">
        <f aca="false">IFERROR(D6/G6/(Parameters!$B$8/Parameters!$B$9),0)</f>
        <v>175.536347187254</v>
      </c>
      <c r="P6" s="9" t="n">
        <f aca="false">IFERROR(G6/E6,0)</f>
        <v>2.08073870573871</v>
      </c>
      <c r="Q6" s="13" t="n">
        <f aca="false">G6*H6</f>
        <v>15048.1054</v>
      </c>
      <c r="R6" s="15" t="n">
        <f aca="false">100*I6/Parameters!$B$8</f>
        <v>16.9630642954856</v>
      </c>
      <c r="S6" s="15" t="n">
        <f aca="false">100*J6/Parameters!$B$8</f>
        <v>22.0246238030096</v>
      </c>
      <c r="T6" s="14" t="str">
        <f aca="false">IF(OR(R6&lt;Parameters!$B$16,R6&gt;Parameters!$B$17),"YES","no - within noise")</f>
        <v>no - within noise</v>
      </c>
      <c r="U6" s="14" t="str">
        <f aca="false">IF(OR(S6&lt;Parameters!$B$19,S6&gt;Parameters!$B$20),"YES","no - within noise")</f>
        <v>no - within noise</v>
      </c>
      <c r="V6" s="14" t="str">
        <f aca="false">IF(AND(T6="YES",R6&gt;Parameters!$B$17),"Watch - stockout",IF(AND(U6="YES",S6&gt;Parameters!$B$20),"Watch - excess capital","Routine"))</f>
        <v>Routine</v>
      </c>
    </row>
    <row r="7" customFormat="false" ht="15" hidden="false" customHeight="false" outlineLevel="0" collapsed="false">
      <c r="A7" s="10" t="s">
        <v>89</v>
      </c>
      <c r="B7" s="10" t="s">
        <v>85</v>
      </c>
      <c r="C7" s="10" t="s">
        <v>90</v>
      </c>
      <c r="D7" s="11" t="n">
        <v>103393</v>
      </c>
      <c r="E7" s="12" t="n">
        <v>141.44</v>
      </c>
      <c r="F7" s="12" t="n">
        <v>107.21</v>
      </c>
      <c r="G7" s="12" t="n">
        <v>274.54</v>
      </c>
      <c r="H7" s="12" t="n">
        <v>53.99</v>
      </c>
      <c r="I7" s="11" t="n">
        <v>139</v>
      </c>
      <c r="J7" s="11" t="n">
        <v>115</v>
      </c>
      <c r="K7" s="11" t="n">
        <v>3</v>
      </c>
      <c r="L7" s="11" t="n">
        <v>29</v>
      </c>
      <c r="M7" s="12" t="n">
        <v>171.3</v>
      </c>
      <c r="N7" s="12" t="n">
        <v>5.12</v>
      </c>
      <c r="O7" s="9" t="n">
        <f aca="false">IFERROR(D7/G7/(Parameters!$B$8/Parameters!$B$9),0)</f>
        <v>188.173453328772</v>
      </c>
      <c r="P7" s="9" t="n">
        <f aca="false">IFERROR(G7/E7,0)</f>
        <v>1.9410350678733</v>
      </c>
      <c r="Q7" s="13" t="n">
        <f aca="false">G7*H7</f>
        <v>14822.4146</v>
      </c>
      <c r="R7" s="15" t="n">
        <f aca="false">100*I7/Parameters!$B$8</f>
        <v>19.015047879617</v>
      </c>
      <c r="S7" s="15" t="n">
        <f aca="false">100*J7/Parameters!$B$8</f>
        <v>15.7318741450068</v>
      </c>
      <c r="T7" s="14" t="str">
        <f aca="false">IF(OR(R7&lt;Parameters!$B$16,R7&gt;Parameters!$B$17),"YES","no - within noise")</f>
        <v>no - within noise</v>
      </c>
      <c r="U7" s="14" t="str">
        <f aca="false">IF(OR(S7&lt;Parameters!$B$19,S7&gt;Parameters!$B$20),"YES","no - within noise")</f>
        <v>no - within noise</v>
      </c>
      <c r="V7" s="14" t="str">
        <f aca="false">IF(AND(T7="YES",R7&gt;Parameters!$B$17),"Watch - stockout",IF(AND(U7="YES",S7&gt;Parameters!$B$20),"Watch - excess capital","Routine"))</f>
        <v>Routine</v>
      </c>
    </row>
    <row r="8" customFormat="false" ht="15" hidden="false" customHeight="false" outlineLevel="0" collapsed="false">
      <c r="A8" s="10" t="s">
        <v>91</v>
      </c>
      <c r="B8" s="10" t="s">
        <v>85</v>
      </c>
      <c r="C8" s="10" t="s">
        <v>92</v>
      </c>
      <c r="D8" s="11" t="n">
        <v>103001</v>
      </c>
      <c r="E8" s="12" t="n">
        <v>140.9</v>
      </c>
      <c r="F8" s="12" t="n">
        <v>113.64</v>
      </c>
      <c r="G8" s="12" t="n">
        <v>275.91</v>
      </c>
      <c r="H8" s="12" t="n">
        <v>54.79</v>
      </c>
      <c r="I8" s="11" t="n">
        <v>138</v>
      </c>
      <c r="J8" s="11" t="n">
        <v>122</v>
      </c>
      <c r="K8" s="11" t="n">
        <v>2</v>
      </c>
      <c r="L8" s="11" t="n">
        <v>28</v>
      </c>
      <c r="M8" s="12" t="n">
        <v>147.8</v>
      </c>
      <c r="N8" s="12" t="n">
        <v>5.15</v>
      </c>
      <c r="O8" s="9" t="n">
        <f aca="false">IFERROR(D8/G8/(Parameters!$B$8/Parameters!$B$9),0)</f>
        <v>186.529208581815</v>
      </c>
      <c r="P8" s="9" t="n">
        <f aca="false">IFERROR(G8/E8,0)</f>
        <v>1.95819730305181</v>
      </c>
      <c r="Q8" s="13" t="n">
        <f aca="false">G8*H8</f>
        <v>15117.1089</v>
      </c>
      <c r="R8" s="15" t="n">
        <f aca="false">100*I8/Parameters!$B$8</f>
        <v>18.8782489740082</v>
      </c>
      <c r="S8" s="15" t="n">
        <f aca="false">100*J8/Parameters!$B$8</f>
        <v>16.6894664842681</v>
      </c>
      <c r="T8" s="14" t="str">
        <f aca="false">IF(OR(R8&lt;Parameters!$B$16,R8&gt;Parameters!$B$17),"YES","no - within noise")</f>
        <v>no - within noise</v>
      </c>
      <c r="U8" s="14" t="str">
        <f aca="false">IF(OR(S8&lt;Parameters!$B$19,S8&gt;Parameters!$B$20),"YES","no - within noise")</f>
        <v>no - within noise</v>
      </c>
      <c r="V8" s="14" t="str">
        <f aca="false">IF(AND(T8="YES",R8&gt;Parameters!$B$17),"Watch - stockout",IF(AND(U8="YES",S8&gt;Parameters!$B$20),"Watch - excess capital","Routine"))</f>
        <v>Routine</v>
      </c>
    </row>
    <row r="9" customFormat="false" ht="15" hidden="false" customHeight="false" outlineLevel="0" collapsed="false">
      <c r="A9" s="10" t="s">
        <v>93</v>
      </c>
      <c r="B9" s="10" t="s">
        <v>85</v>
      </c>
      <c r="C9" s="10" t="s">
        <v>94</v>
      </c>
      <c r="D9" s="11" t="n">
        <v>97318</v>
      </c>
      <c r="E9" s="12" t="n">
        <v>133.13</v>
      </c>
      <c r="F9" s="12" t="n">
        <v>107.37</v>
      </c>
      <c r="G9" s="12" t="n">
        <v>269.33</v>
      </c>
      <c r="H9" s="12" t="n">
        <v>54.09</v>
      </c>
      <c r="I9" s="11" t="n">
        <v>131</v>
      </c>
      <c r="J9" s="11" t="n">
        <v>136</v>
      </c>
      <c r="K9" s="11" t="n">
        <v>4</v>
      </c>
      <c r="L9" s="11" t="n">
        <v>23</v>
      </c>
      <c r="M9" s="12" t="n">
        <v>148.8</v>
      </c>
      <c r="N9" s="12" t="n">
        <v>5.1</v>
      </c>
      <c r="O9" s="9" t="n">
        <f aca="false">IFERROR(D9/G9/(Parameters!$B$8/Parameters!$B$9),0)</f>
        <v>180.543264806223</v>
      </c>
      <c r="P9" s="9" t="n">
        <f aca="false">IFERROR(G9/E9,0)</f>
        <v>2.0230601667543</v>
      </c>
      <c r="Q9" s="13" t="n">
        <f aca="false">G9*H9</f>
        <v>14568.0597</v>
      </c>
      <c r="R9" s="15" t="n">
        <f aca="false">100*I9/Parameters!$B$8</f>
        <v>17.9206566347469</v>
      </c>
      <c r="S9" s="15" t="n">
        <f aca="false">100*J9/Parameters!$B$8</f>
        <v>18.6046511627907</v>
      </c>
      <c r="T9" s="14" t="str">
        <f aca="false">IF(OR(R9&lt;Parameters!$B$16,R9&gt;Parameters!$B$17),"YES","no - within noise")</f>
        <v>no - within noise</v>
      </c>
      <c r="U9" s="14" t="str">
        <f aca="false">IF(OR(S9&lt;Parameters!$B$19,S9&gt;Parameters!$B$20),"YES","no - within noise")</f>
        <v>no - within noise</v>
      </c>
      <c r="V9" s="14" t="str">
        <f aca="false">IF(AND(T9="YES",R9&gt;Parameters!$B$17),"Watch - stockout",IF(AND(U9="YES",S9&gt;Parameters!$B$20),"Watch - excess capital","Routine"))</f>
        <v>Routine</v>
      </c>
    </row>
    <row r="10" customFormat="false" ht="15" hidden="false" customHeight="false" outlineLevel="0" collapsed="false">
      <c r="A10" s="10" t="s">
        <v>95</v>
      </c>
      <c r="B10" s="10" t="s">
        <v>85</v>
      </c>
      <c r="C10" s="10" t="s">
        <v>96</v>
      </c>
      <c r="D10" s="11" t="n">
        <v>95522</v>
      </c>
      <c r="E10" s="12" t="n">
        <v>130.67</v>
      </c>
      <c r="F10" s="12" t="n">
        <v>109.02</v>
      </c>
      <c r="G10" s="12" t="n">
        <v>272.95</v>
      </c>
      <c r="H10" s="12" t="n">
        <v>54.59</v>
      </c>
      <c r="I10" s="11" t="n">
        <v>136</v>
      </c>
      <c r="J10" s="11" t="n">
        <v>169</v>
      </c>
      <c r="K10" s="11" t="n">
        <v>3</v>
      </c>
      <c r="L10" s="11" t="n">
        <v>30</v>
      </c>
      <c r="M10" s="12" t="n">
        <v>224.3</v>
      </c>
      <c r="N10" s="12" t="n">
        <v>5.31</v>
      </c>
      <c r="O10" s="9" t="n">
        <f aca="false">IFERROR(D10/G10/(Parameters!$B$8/Parameters!$B$9),0)</f>
        <v>174.861079821748</v>
      </c>
      <c r="P10" s="9" t="n">
        <f aca="false">IFERROR(G10/E10,0)</f>
        <v>2.08884977424045</v>
      </c>
      <c r="Q10" s="13" t="n">
        <f aca="false">G10*H10</f>
        <v>14900.3405</v>
      </c>
      <c r="R10" s="15" t="n">
        <f aca="false">100*I10/Parameters!$B$8</f>
        <v>18.6046511627907</v>
      </c>
      <c r="S10" s="15" t="n">
        <f aca="false">100*J10/Parameters!$B$8</f>
        <v>23.1190150478796</v>
      </c>
      <c r="T10" s="14" t="str">
        <f aca="false">IF(OR(R10&lt;Parameters!$B$16,R10&gt;Parameters!$B$17),"YES","no - within noise")</f>
        <v>no - within noise</v>
      </c>
      <c r="U10" s="14" t="str">
        <f aca="false">IF(OR(S10&lt;Parameters!$B$19,S10&gt;Parameters!$B$20),"YES","no - within noise")</f>
        <v>no - within noise</v>
      </c>
      <c r="V10" s="14" t="str">
        <f aca="false">IF(AND(T10="YES",R10&gt;Parameters!$B$17),"Watch - stockout",IF(AND(U10="YES",S10&gt;Parameters!$B$20),"Watch - excess capital","Routine"))</f>
        <v>Routine</v>
      </c>
    </row>
    <row r="11" customFormat="false" ht="15" hidden="false" customHeight="false" outlineLevel="0" collapsed="false">
      <c r="A11" s="10" t="s">
        <v>97</v>
      </c>
      <c r="B11" s="10" t="s">
        <v>85</v>
      </c>
      <c r="C11" s="10" t="s">
        <v>98</v>
      </c>
      <c r="D11" s="11" t="n">
        <v>100749</v>
      </c>
      <c r="E11" s="12" t="n">
        <v>137.82</v>
      </c>
      <c r="F11" s="12" t="n">
        <v>111.2</v>
      </c>
      <c r="G11" s="12" t="n">
        <v>278.41</v>
      </c>
      <c r="H11" s="12" t="n">
        <v>54.12</v>
      </c>
      <c r="I11" s="11" t="n">
        <v>143</v>
      </c>
      <c r="J11" s="11" t="n">
        <v>136</v>
      </c>
      <c r="K11" s="11" t="n">
        <v>8</v>
      </c>
      <c r="L11" s="11" t="n">
        <v>21</v>
      </c>
      <c r="M11" s="12" t="n">
        <v>172</v>
      </c>
      <c r="N11" s="12" t="n">
        <v>4.63</v>
      </c>
      <c r="O11" s="9" t="n">
        <f aca="false">IFERROR(D11/G11/(Parameters!$B$8/Parameters!$B$9),0)</f>
        <v>180.81262927929</v>
      </c>
      <c r="P11" s="9" t="n">
        <f aca="false">IFERROR(G11/E11,0)</f>
        <v>2.02009867943695</v>
      </c>
      <c r="Q11" s="13" t="n">
        <f aca="false">G11*H11</f>
        <v>15067.5492</v>
      </c>
      <c r="R11" s="15" t="n">
        <f aca="false">100*I11/Parameters!$B$8</f>
        <v>19.562243502052</v>
      </c>
      <c r="S11" s="15" t="n">
        <f aca="false">100*J11/Parameters!$B$8</f>
        <v>18.6046511627907</v>
      </c>
      <c r="T11" s="14" t="str">
        <f aca="false">IF(OR(R11&lt;Parameters!$B$16,R11&gt;Parameters!$B$17),"YES","no - within noise")</f>
        <v>no - within noise</v>
      </c>
      <c r="U11" s="14" t="str">
        <f aca="false">IF(OR(S11&lt;Parameters!$B$19,S11&gt;Parameters!$B$20),"YES","no - within noise")</f>
        <v>no - within noise</v>
      </c>
      <c r="V11" s="14" t="str">
        <f aca="false">IF(AND(T11="YES",R11&gt;Parameters!$B$17),"Watch - stockout",IF(AND(U11="YES",S11&gt;Parameters!$B$20),"Watch - excess capital","Routine"))</f>
        <v>Routine</v>
      </c>
    </row>
    <row r="12" customFormat="false" ht="15" hidden="false" customHeight="false" outlineLevel="0" collapsed="false">
      <c r="A12" s="10" t="s">
        <v>99</v>
      </c>
      <c r="B12" s="10" t="s">
        <v>85</v>
      </c>
      <c r="C12" s="10" t="s">
        <v>100</v>
      </c>
      <c r="D12" s="11" t="n">
        <v>100244</v>
      </c>
      <c r="E12" s="12" t="n">
        <v>137.13</v>
      </c>
      <c r="F12" s="12" t="n">
        <v>108.7</v>
      </c>
      <c r="G12" s="12" t="n">
        <v>269.92</v>
      </c>
      <c r="H12" s="12" t="n">
        <v>55.15</v>
      </c>
      <c r="I12" s="11" t="n">
        <v>132</v>
      </c>
      <c r="J12" s="11" t="n">
        <v>126</v>
      </c>
      <c r="K12" s="11" t="n">
        <v>1</v>
      </c>
      <c r="L12" s="11" t="n">
        <v>23</v>
      </c>
      <c r="M12" s="12" t="n">
        <v>167.7</v>
      </c>
      <c r="N12" s="12" t="n">
        <v>4.58</v>
      </c>
      <c r="O12" s="9" t="n">
        <f aca="false">IFERROR(D12/G12/(Parameters!$B$8/Parameters!$B$9),0)</f>
        <v>185.565044554925</v>
      </c>
      <c r="P12" s="9" t="n">
        <f aca="false">IFERROR(G12/E12,0)</f>
        <v>1.96835119959163</v>
      </c>
      <c r="Q12" s="13" t="n">
        <f aca="false">G12*H12</f>
        <v>14886.088</v>
      </c>
      <c r="R12" s="15" t="n">
        <f aca="false">100*I12/Parameters!$B$8</f>
        <v>18.0574555403557</v>
      </c>
      <c r="S12" s="15" t="n">
        <f aca="false">100*J12/Parameters!$B$8</f>
        <v>17.2366621067031</v>
      </c>
      <c r="T12" s="14" t="str">
        <f aca="false">IF(OR(R12&lt;Parameters!$B$16,R12&gt;Parameters!$B$17),"YES","no - within noise")</f>
        <v>no - within noise</v>
      </c>
      <c r="U12" s="14" t="str">
        <f aca="false">IF(OR(S12&lt;Parameters!$B$19,S12&gt;Parameters!$B$20),"YES","no - within noise")</f>
        <v>no - within noise</v>
      </c>
      <c r="V12" s="14" t="str">
        <f aca="false">IF(AND(T12="YES",R12&gt;Parameters!$B$17),"Watch - stockout",IF(AND(U12="YES",S12&gt;Parameters!$B$20),"Watch - excess capital","Routine"))</f>
        <v>Routine</v>
      </c>
    </row>
    <row r="13" customFormat="false" ht="15" hidden="false" customHeight="false" outlineLevel="0" collapsed="false">
      <c r="A13" s="10" t="s">
        <v>101</v>
      </c>
      <c r="B13" s="10" t="s">
        <v>85</v>
      </c>
      <c r="C13" s="10" t="s">
        <v>102</v>
      </c>
      <c r="D13" s="11" t="n">
        <v>96080</v>
      </c>
      <c r="E13" s="12" t="n">
        <v>131.44</v>
      </c>
      <c r="F13" s="12" t="n">
        <v>107.09</v>
      </c>
      <c r="G13" s="12" t="n">
        <v>270.53</v>
      </c>
      <c r="H13" s="12" t="n">
        <v>55.73</v>
      </c>
      <c r="I13" s="11" t="n">
        <v>132</v>
      </c>
      <c r="J13" s="11" t="n">
        <v>157</v>
      </c>
      <c r="K13" s="11" t="n">
        <v>6</v>
      </c>
      <c r="L13" s="11" t="n">
        <v>26</v>
      </c>
      <c r="M13" s="12" t="n">
        <v>162.5</v>
      </c>
      <c r="N13" s="12" t="n">
        <v>4.91</v>
      </c>
      <c r="O13" s="9" t="n">
        <f aca="false">IFERROR(D13/G13/(Parameters!$B$8/Parameters!$B$9),0)</f>
        <v>177.455886233958</v>
      </c>
      <c r="P13" s="9" t="n">
        <f aca="false">IFERROR(G13/E13,0)</f>
        <v>2.05820146074254</v>
      </c>
      <c r="Q13" s="13" t="n">
        <f aca="false">G13*H13</f>
        <v>15076.6369</v>
      </c>
      <c r="R13" s="15" t="n">
        <f aca="false">100*I13/Parameters!$B$8</f>
        <v>18.0574555403557</v>
      </c>
      <c r="S13" s="15" t="n">
        <f aca="false">100*J13/Parameters!$B$8</f>
        <v>21.4774281805746</v>
      </c>
      <c r="T13" s="14" t="str">
        <f aca="false">IF(OR(R13&lt;Parameters!$B$16,R13&gt;Parameters!$B$17),"YES","no - within noise")</f>
        <v>no - within noise</v>
      </c>
      <c r="U13" s="14" t="str">
        <f aca="false">IF(OR(S13&lt;Parameters!$B$19,S13&gt;Parameters!$B$20),"YES","no - within noise")</f>
        <v>no - within noise</v>
      </c>
      <c r="V13" s="14" t="str">
        <f aca="false">IF(AND(T13="YES",R13&gt;Parameters!$B$17),"Watch - stockout",IF(AND(U13="YES",S13&gt;Parameters!$B$20),"Watch - excess capital","Routine"))</f>
        <v>Routine</v>
      </c>
    </row>
    <row r="14" customFormat="false" ht="15" hidden="false" customHeight="false" outlineLevel="0" collapsed="false">
      <c r="A14" s="10" t="s">
        <v>103</v>
      </c>
      <c r="B14" s="10" t="s">
        <v>85</v>
      </c>
      <c r="C14" s="10" t="s">
        <v>104</v>
      </c>
      <c r="D14" s="11" t="n">
        <v>96756</v>
      </c>
      <c r="E14" s="12" t="n">
        <v>132.36</v>
      </c>
      <c r="F14" s="12" t="n">
        <v>105.92</v>
      </c>
      <c r="G14" s="12" t="n">
        <v>274.89</v>
      </c>
      <c r="H14" s="12" t="n">
        <v>57.41</v>
      </c>
      <c r="I14" s="11" t="n">
        <v>127</v>
      </c>
      <c r="J14" s="11" t="n">
        <v>172</v>
      </c>
      <c r="K14" s="11" t="n">
        <v>3</v>
      </c>
      <c r="L14" s="11" t="n">
        <v>23</v>
      </c>
      <c r="M14" s="12" t="n">
        <v>208.3</v>
      </c>
      <c r="N14" s="12" t="n">
        <v>4.29</v>
      </c>
      <c r="O14" s="9" t="n">
        <f aca="false">IFERROR(D14/G14/(Parameters!$B$8/Parameters!$B$9),0)</f>
        <v>175.870019690503</v>
      </c>
      <c r="P14" s="9" t="n">
        <f aca="false">IFERROR(G14/E14,0)</f>
        <v>2.07683590208522</v>
      </c>
      <c r="Q14" s="13" t="n">
        <f aca="false">G14*H14</f>
        <v>15781.4349</v>
      </c>
      <c r="R14" s="15" t="n">
        <f aca="false">100*I14/Parameters!$B$8</f>
        <v>17.3734610123119</v>
      </c>
      <c r="S14" s="15" t="n">
        <f aca="false">100*J14/Parameters!$B$8</f>
        <v>23.5294117647059</v>
      </c>
      <c r="T14" s="14" t="str">
        <f aca="false">IF(OR(R14&lt;Parameters!$B$16,R14&gt;Parameters!$B$17),"YES","no - within noise")</f>
        <v>no - within noise</v>
      </c>
      <c r="U14" s="14" t="str">
        <f aca="false">IF(OR(S14&lt;Parameters!$B$19,S14&gt;Parameters!$B$20),"YES","no - within noise")</f>
        <v>YES</v>
      </c>
      <c r="V14" s="14" t="str">
        <f aca="false">IF(AND(T14="YES",R14&gt;Parameters!$B$17),"Watch - stockout",IF(AND(U14="YES",S14&gt;Parameters!$B$20),"Watch - excess capital","Routine"))</f>
        <v>Watch - excess capital</v>
      </c>
    </row>
    <row r="15" customFormat="false" ht="15" hidden="false" customHeight="false" outlineLevel="0" collapsed="false">
      <c r="A15" s="10" t="s">
        <v>105</v>
      </c>
      <c r="B15" s="10" t="s">
        <v>85</v>
      </c>
      <c r="C15" s="10" t="s">
        <v>106</v>
      </c>
      <c r="D15" s="11" t="n">
        <v>96852</v>
      </c>
      <c r="E15" s="12" t="n">
        <v>132.49</v>
      </c>
      <c r="F15" s="12" t="n">
        <v>109.9</v>
      </c>
      <c r="G15" s="12" t="n">
        <v>269.19</v>
      </c>
      <c r="H15" s="12" t="n">
        <v>54.4</v>
      </c>
      <c r="I15" s="11" t="n">
        <v>134</v>
      </c>
      <c r="J15" s="11" t="n">
        <v>170</v>
      </c>
      <c r="K15" s="11" t="n">
        <v>6</v>
      </c>
      <c r="L15" s="11" t="n">
        <v>33</v>
      </c>
      <c r="M15" s="12" t="n">
        <v>206.7</v>
      </c>
      <c r="N15" s="12" t="n">
        <v>4.66</v>
      </c>
      <c r="O15" s="9" t="n">
        <f aca="false">IFERROR(D15/G15/(Parameters!$B$8/Parameters!$B$9),0)</f>
        <v>179.772193918738</v>
      </c>
      <c r="P15" s="9" t="n">
        <f aca="false">IFERROR(G15/E15,0)</f>
        <v>2.03177598309306</v>
      </c>
      <c r="Q15" s="13" t="n">
        <f aca="false">G15*H15</f>
        <v>14643.936</v>
      </c>
      <c r="R15" s="15" t="n">
        <f aca="false">100*I15/Parameters!$B$8</f>
        <v>18.3310533515732</v>
      </c>
      <c r="S15" s="15" t="n">
        <f aca="false">100*J15/Parameters!$B$8</f>
        <v>23.2558139534884</v>
      </c>
      <c r="T15" s="14" t="str">
        <f aca="false">IF(OR(R15&lt;Parameters!$B$16,R15&gt;Parameters!$B$17),"YES","no - within noise")</f>
        <v>no - within noise</v>
      </c>
      <c r="U15" s="14" t="str">
        <f aca="false">IF(OR(S15&lt;Parameters!$B$19,S15&gt;Parameters!$B$20),"YES","no - within noise")</f>
        <v>YES</v>
      </c>
      <c r="V15" s="14" t="str">
        <f aca="false">IF(AND(T15="YES",R15&gt;Parameters!$B$17),"Watch - stockout",IF(AND(U15="YES",S15&gt;Parameters!$B$20),"Watch - excess capital","Routine"))</f>
        <v>Watch - excess capital</v>
      </c>
    </row>
    <row r="16" customFormat="false" ht="15" hidden="false" customHeight="false" outlineLevel="0" collapsed="false">
      <c r="A16" s="10" t="s">
        <v>107</v>
      </c>
      <c r="B16" s="10" t="s">
        <v>85</v>
      </c>
      <c r="C16" s="10" t="s">
        <v>108</v>
      </c>
      <c r="D16" s="11" t="n">
        <v>93854</v>
      </c>
      <c r="E16" s="12" t="n">
        <v>128.39</v>
      </c>
      <c r="F16" s="12" t="n">
        <v>102.24</v>
      </c>
      <c r="G16" s="12" t="n">
        <v>266.76</v>
      </c>
      <c r="H16" s="12" t="n">
        <v>53.88</v>
      </c>
      <c r="I16" s="11" t="n">
        <v>141</v>
      </c>
      <c r="J16" s="11" t="n">
        <v>179</v>
      </c>
      <c r="K16" s="11" t="n">
        <v>2</v>
      </c>
      <c r="L16" s="11" t="n">
        <v>21</v>
      </c>
      <c r="M16" s="12" t="n">
        <v>121.4</v>
      </c>
      <c r="N16" s="12" t="n">
        <v>4.6</v>
      </c>
      <c r="O16" s="9" t="n">
        <f aca="false">IFERROR(D16/G16/(Parameters!$B$8/Parameters!$B$9),0)</f>
        <v>175.79435518362</v>
      </c>
      <c r="P16" s="9" t="n">
        <f aca="false">IFERROR(G16/E16,0)</f>
        <v>2.07773191058494</v>
      </c>
      <c r="Q16" s="13" t="n">
        <f aca="false">G16*H16</f>
        <v>14373.0288</v>
      </c>
      <c r="R16" s="15" t="n">
        <f aca="false">100*I16/Parameters!$B$8</f>
        <v>19.2886456908345</v>
      </c>
      <c r="S16" s="15" t="n">
        <f aca="false">100*J16/Parameters!$B$8</f>
        <v>24.4870041039672</v>
      </c>
      <c r="T16" s="14" t="str">
        <f aca="false">IF(OR(R16&lt;Parameters!$B$16,R16&gt;Parameters!$B$17),"YES","no - within noise")</f>
        <v>no - within noise</v>
      </c>
      <c r="U16" s="14" t="str">
        <f aca="false">IF(OR(S16&lt;Parameters!$B$19,S16&gt;Parameters!$B$20),"YES","no - within noise")</f>
        <v>YES</v>
      </c>
      <c r="V16" s="14" t="str">
        <f aca="false">IF(AND(T16="YES",R16&gt;Parameters!$B$17),"Watch - stockout",IF(AND(U16="YES",S16&gt;Parameters!$B$20),"Watch - excess capital","Routine"))</f>
        <v>Watch - excess capital</v>
      </c>
    </row>
    <row r="17" customFormat="false" ht="15" hidden="false" customHeight="false" outlineLevel="0" collapsed="false">
      <c r="A17" s="10" t="s">
        <v>109</v>
      </c>
      <c r="B17" s="10" t="s">
        <v>85</v>
      </c>
      <c r="C17" s="10" t="s">
        <v>110</v>
      </c>
      <c r="D17" s="11" t="n">
        <v>97131</v>
      </c>
      <c r="E17" s="12" t="n">
        <v>132.87</v>
      </c>
      <c r="F17" s="12" t="n">
        <v>109.16</v>
      </c>
      <c r="G17" s="12" t="n">
        <v>263.73</v>
      </c>
      <c r="H17" s="12" t="n">
        <v>54.6</v>
      </c>
      <c r="I17" s="11" t="n">
        <v>141</v>
      </c>
      <c r="J17" s="11" t="n">
        <v>137</v>
      </c>
      <c r="K17" s="11" t="n">
        <v>1</v>
      </c>
      <c r="L17" s="11" t="n">
        <v>29</v>
      </c>
      <c r="M17" s="12" t="n">
        <v>178.5</v>
      </c>
      <c r="N17" s="12" t="n">
        <v>5.46</v>
      </c>
      <c r="O17" s="9" t="n">
        <f aca="false">IFERROR(D17/G17/(Parameters!$B$8/Parameters!$B$9),0)</f>
        <v>184.022604420234</v>
      </c>
      <c r="P17" s="9" t="n">
        <f aca="false">IFERROR(G17/E17,0)</f>
        <v>1.98487243170016</v>
      </c>
      <c r="Q17" s="13" t="n">
        <f aca="false">G17*H17</f>
        <v>14399.658</v>
      </c>
      <c r="R17" s="15" t="n">
        <f aca="false">100*I17/Parameters!$B$8</f>
        <v>19.2886456908345</v>
      </c>
      <c r="S17" s="15" t="n">
        <f aca="false">100*J17/Parameters!$B$8</f>
        <v>18.7414500683995</v>
      </c>
      <c r="T17" s="14" t="str">
        <f aca="false">IF(OR(R17&lt;Parameters!$B$16,R17&gt;Parameters!$B$17),"YES","no - within noise")</f>
        <v>no - within noise</v>
      </c>
      <c r="U17" s="14" t="str">
        <f aca="false">IF(OR(S17&lt;Parameters!$B$19,S17&gt;Parameters!$B$20),"YES","no - within noise")</f>
        <v>no - within noise</v>
      </c>
      <c r="V17" s="14" t="str">
        <f aca="false">IF(AND(T17="YES",R17&gt;Parameters!$B$17),"Watch - stockout",IF(AND(U17="YES",S17&gt;Parameters!$B$20),"Watch - excess capital","Routine"))</f>
        <v>Routine</v>
      </c>
    </row>
    <row r="18" customFormat="false" ht="15" hidden="false" customHeight="false" outlineLevel="0" collapsed="false">
      <c r="A18" s="10" t="s">
        <v>111</v>
      </c>
      <c r="B18" s="10" t="s">
        <v>85</v>
      </c>
      <c r="C18" s="10" t="s">
        <v>112</v>
      </c>
      <c r="D18" s="11" t="n">
        <v>99870</v>
      </c>
      <c r="E18" s="12" t="n">
        <v>136.62</v>
      </c>
      <c r="F18" s="12" t="n">
        <v>110.67</v>
      </c>
      <c r="G18" s="12" t="n">
        <v>270.9</v>
      </c>
      <c r="H18" s="12" t="n">
        <v>55.43</v>
      </c>
      <c r="I18" s="11" t="n">
        <v>128</v>
      </c>
      <c r="J18" s="11" t="n">
        <v>125</v>
      </c>
      <c r="K18" s="11" t="n">
        <v>1</v>
      </c>
      <c r="L18" s="11" t="n">
        <v>22</v>
      </c>
      <c r="M18" s="12" t="n">
        <v>122.9</v>
      </c>
      <c r="N18" s="12" t="n">
        <v>4.69</v>
      </c>
      <c r="O18" s="9" t="n">
        <f aca="false">IFERROR(D18/G18/(Parameters!$B$8/Parameters!$B$9),0)</f>
        <v>184.203930355268</v>
      </c>
      <c r="P18" s="9" t="n">
        <f aca="false">IFERROR(G18/E18,0)</f>
        <v>1.9828722002635</v>
      </c>
      <c r="Q18" s="13" t="n">
        <f aca="false">G18*H18</f>
        <v>15015.987</v>
      </c>
      <c r="R18" s="15" t="n">
        <f aca="false">100*I18/Parameters!$B$8</f>
        <v>17.5102599179207</v>
      </c>
      <c r="S18" s="15" t="n">
        <f aca="false">100*J18/Parameters!$B$8</f>
        <v>17.0998632010944</v>
      </c>
      <c r="T18" s="14" t="str">
        <f aca="false">IF(OR(R18&lt;Parameters!$B$16,R18&gt;Parameters!$B$17),"YES","no - within noise")</f>
        <v>no - within noise</v>
      </c>
      <c r="U18" s="14" t="str">
        <f aca="false">IF(OR(S18&lt;Parameters!$B$19,S18&gt;Parameters!$B$20),"YES","no - within noise")</f>
        <v>no - within noise</v>
      </c>
      <c r="V18" s="14" t="str">
        <f aca="false">IF(AND(T18="YES",R18&gt;Parameters!$B$17),"Watch - stockout",IF(AND(U18="YES",S18&gt;Parameters!$B$20),"Watch - excess capital","Routine"))</f>
        <v>Routine</v>
      </c>
    </row>
    <row r="19" customFormat="false" ht="15" hidden="false" customHeight="false" outlineLevel="0" collapsed="false">
      <c r="A19" s="10" t="s">
        <v>113</v>
      </c>
      <c r="B19" s="10" t="s">
        <v>85</v>
      </c>
      <c r="C19" s="10" t="s">
        <v>114</v>
      </c>
      <c r="D19" s="11" t="n">
        <v>100795</v>
      </c>
      <c r="E19" s="12" t="n">
        <v>137.89</v>
      </c>
      <c r="F19" s="12" t="n">
        <v>112.8</v>
      </c>
      <c r="G19" s="12" t="n">
        <v>277.48</v>
      </c>
      <c r="H19" s="12" t="n">
        <v>54.64</v>
      </c>
      <c r="I19" s="11" t="n">
        <v>140</v>
      </c>
      <c r="J19" s="11" t="n">
        <v>134</v>
      </c>
      <c r="K19" s="11" t="n">
        <v>3</v>
      </c>
      <c r="L19" s="11" t="n">
        <v>15</v>
      </c>
      <c r="M19" s="12" t="n">
        <v>109.2</v>
      </c>
      <c r="N19" s="12" t="n">
        <v>4.85</v>
      </c>
      <c r="O19" s="9" t="n">
        <f aca="false">IFERROR(D19/G19/(Parameters!$B$8/Parameters!$B$9),0)</f>
        <v>181.501471766516</v>
      </c>
      <c r="P19" s="9" t="n">
        <f aca="false">IFERROR(G19/E19,0)</f>
        <v>2.01232866777866</v>
      </c>
      <c r="Q19" s="13" t="n">
        <f aca="false">G19*H19</f>
        <v>15161.5072</v>
      </c>
      <c r="R19" s="15" t="n">
        <f aca="false">100*I19/Parameters!$B$8</f>
        <v>19.1518467852257</v>
      </c>
      <c r="S19" s="15" t="n">
        <f aca="false">100*J19/Parameters!$B$8</f>
        <v>18.3310533515732</v>
      </c>
      <c r="T19" s="14" t="str">
        <f aca="false">IF(OR(R19&lt;Parameters!$B$16,R19&gt;Parameters!$B$17),"YES","no - within noise")</f>
        <v>no - within noise</v>
      </c>
      <c r="U19" s="14" t="str">
        <f aca="false">IF(OR(S19&lt;Parameters!$B$19,S19&gt;Parameters!$B$20),"YES","no - within noise")</f>
        <v>no - within noise</v>
      </c>
      <c r="V19" s="14" t="str">
        <f aca="false">IF(AND(T19="YES",R19&gt;Parameters!$B$17),"Watch - stockout",IF(AND(U19="YES",S19&gt;Parameters!$B$20),"Watch - excess capital","Routine"))</f>
        <v>Routine</v>
      </c>
    </row>
    <row r="20" customFormat="false" ht="15" hidden="false" customHeight="false" outlineLevel="0" collapsed="false">
      <c r="A20" s="10" t="s">
        <v>115</v>
      </c>
      <c r="B20" s="10" t="s">
        <v>85</v>
      </c>
      <c r="C20" s="10" t="s">
        <v>116</v>
      </c>
      <c r="D20" s="11" t="n">
        <v>97174</v>
      </c>
      <c r="E20" s="12" t="n">
        <v>132.93</v>
      </c>
      <c r="F20" s="12" t="n">
        <v>107.54</v>
      </c>
      <c r="G20" s="12" t="n">
        <v>265.39</v>
      </c>
      <c r="H20" s="12" t="n">
        <v>55.56</v>
      </c>
      <c r="I20" s="11" t="n">
        <v>151</v>
      </c>
      <c r="J20" s="11" t="n">
        <v>158</v>
      </c>
      <c r="K20" s="11" t="n">
        <v>5</v>
      </c>
      <c r="L20" s="11" t="n">
        <v>23</v>
      </c>
      <c r="M20" s="12" t="n">
        <v>160.8</v>
      </c>
      <c r="N20" s="12" t="n">
        <v>4.97</v>
      </c>
      <c r="O20" s="9" t="n">
        <f aca="false">IFERROR(D20/G20/(Parameters!$B$8/Parameters!$B$9),0)</f>
        <v>182.952510485949</v>
      </c>
      <c r="P20" s="9" t="n">
        <f aca="false">IFERROR(G20/E20,0)</f>
        <v>1.99646430452118</v>
      </c>
      <c r="Q20" s="13" t="n">
        <f aca="false">G20*H20</f>
        <v>14745.0684</v>
      </c>
      <c r="R20" s="15" t="n">
        <f aca="false">100*I20/Parameters!$B$8</f>
        <v>20.656634746922</v>
      </c>
      <c r="S20" s="15" t="n">
        <f aca="false">100*J20/Parameters!$B$8</f>
        <v>21.6142270861833</v>
      </c>
      <c r="T20" s="14" t="str">
        <f aca="false">IF(OR(R20&lt;Parameters!$B$16,R20&gt;Parameters!$B$17),"YES","no - within noise")</f>
        <v>no - within noise</v>
      </c>
      <c r="U20" s="14" t="str">
        <f aca="false">IF(OR(S20&lt;Parameters!$B$19,S20&gt;Parameters!$B$20),"YES","no - within noise")</f>
        <v>no - within noise</v>
      </c>
      <c r="V20" s="14" t="str">
        <f aca="false">IF(AND(T20="YES",R20&gt;Parameters!$B$17),"Watch - stockout",IF(AND(U20="YES",S20&gt;Parameters!$B$20),"Watch - excess capital","Routine"))</f>
        <v>Routine</v>
      </c>
    </row>
    <row r="21" customFormat="false" ht="15" hidden="false" customHeight="false" outlineLevel="0" collapsed="false">
      <c r="A21" s="10" t="s">
        <v>117</v>
      </c>
      <c r="B21" s="10" t="s">
        <v>85</v>
      </c>
      <c r="C21" s="10" t="s">
        <v>118</v>
      </c>
      <c r="D21" s="11" t="n">
        <v>99744</v>
      </c>
      <c r="E21" s="12" t="n">
        <v>136.45</v>
      </c>
      <c r="F21" s="12" t="n">
        <v>108.97</v>
      </c>
      <c r="G21" s="12" t="n">
        <v>285.65</v>
      </c>
      <c r="H21" s="12" t="n">
        <v>55.3</v>
      </c>
      <c r="I21" s="11" t="n">
        <v>120</v>
      </c>
      <c r="J21" s="11" t="n">
        <v>154</v>
      </c>
      <c r="K21" s="11" t="n">
        <v>4</v>
      </c>
      <c r="L21" s="11" t="n">
        <v>17</v>
      </c>
      <c r="M21" s="12" t="n">
        <v>145.6</v>
      </c>
      <c r="N21" s="12" t="n">
        <v>4.94</v>
      </c>
      <c r="O21" s="9" t="n">
        <f aca="false">IFERROR(D21/G21/(Parameters!$B$8/Parameters!$B$9),0)</f>
        <v>174.471863556441</v>
      </c>
      <c r="P21" s="9" t="n">
        <f aca="false">IFERROR(G21/E21,0)</f>
        <v>2.09344082081349</v>
      </c>
      <c r="Q21" s="13" t="n">
        <f aca="false">G21*H21</f>
        <v>15796.445</v>
      </c>
      <c r="R21" s="15" t="n">
        <f aca="false">100*I21/Parameters!$B$8</f>
        <v>16.4158686730506</v>
      </c>
      <c r="S21" s="15" t="n">
        <f aca="false">100*J21/Parameters!$B$8</f>
        <v>21.0670314637483</v>
      </c>
      <c r="T21" s="14" t="str">
        <f aca="false">IF(OR(R21&lt;Parameters!$B$16,R21&gt;Parameters!$B$17),"YES","no - within noise")</f>
        <v>no - within noise</v>
      </c>
      <c r="U21" s="14" t="str">
        <f aca="false">IF(OR(S21&lt;Parameters!$B$19,S21&gt;Parameters!$B$20),"YES","no - within noise")</f>
        <v>no - within noise</v>
      </c>
      <c r="V21" s="14" t="str">
        <f aca="false">IF(AND(T21="YES",R21&gt;Parameters!$B$17),"Watch - stockout",IF(AND(U21="YES",S21&gt;Parameters!$B$20),"Watch - excess capital","Routine"))</f>
        <v>Routine</v>
      </c>
    </row>
    <row r="22" customFormat="false" ht="15" hidden="false" customHeight="false" outlineLevel="0" collapsed="false">
      <c r="A22" s="10" t="s">
        <v>119</v>
      </c>
      <c r="B22" s="10" t="s">
        <v>85</v>
      </c>
      <c r="C22" s="10" t="s">
        <v>120</v>
      </c>
      <c r="D22" s="11" t="n">
        <v>101475</v>
      </c>
      <c r="E22" s="12" t="n">
        <v>138.82</v>
      </c>
      <c r="F22" s="12" t="n">
        <v>109.1</v>
      </c>
      <c r="G22" s="12" t="n">
        <v>282.55</v>
      </c>
      <c r="H22" s="12" t="n">
        <v>56.46</v>
      </c>
      <c r="I22" s="11" t="n">
        <v>129</v>
      </c>
      <c r="J22" s="11" t="n">
        <v>130</v>
      </c>
      <c r="K22" s="11" t="n">
        <v>6</v>
      </c>
      <c r="L22" s="11" t="n">
        <v>17</v>
      </c>
      <c r="M22" s="12" t="n">
        <v>129.4</v>
      </c>
      <c r="N22" s="12" t="n">
        <v>5.59</v>
      </c>
      <c r="O22" s="9" t="n">
        <f aca="false">IFERROR(D22/G22/(Parameters!$B$8/Parameters!$B$9),0)</f>
        <v>179.447162723884</v>
      </c>
      <c r="P22" s="9" t="n">
        <f aca="false">IFERROR(G22/E22,0)</f>
        <v>2.03536954329347</v>
      </c>
      <c r="Q22" s="13" t="n">
        <f aca="false">G22*H22</f>
        <v>15952.773</v>
      </c>
      <c r="R22" s="15" t="n">
        <f aca="false">100*I22/Parameters!$B$8</f>
        <v>17.6470588235294</v>
      </c>
      <c r="S22" s="15" t="n">
        <f aca="false">100*J22/Parameters!$B$8</f>
        <v>17.7838577291382</v>
      </c>
      <c r="T22" s="14" t="str">
        <f aca="false">IF(OR(R22&lt;Parameters!$B$16,R22&gt;Parameters!$B$17),"YES","no - within noise")</f>
        <v>no - within noise</v>
      </c>
      <c r="U22" s="14" t="str">
        <f aca="false">IF(OR(S22&lt;Parameters!$B$19,S22&gt;Parameters!$B$20),"YES","no - within noise")</f>
        <v>no - within noise</v>
      </c>
      <c r="V22" s="14" t="str">
        <f aca="false">IF(AND(T22="YES",R22&gt;Parameters!$B$17),"Watch - stockout",IF(AND(U22="YES",S22&gt;Parameters!$B$20),"Watch - excess capital","Routine"))</f>
        <v>Routine</v>
      </c>
    </row>
    <row r="23" customFormat="false" ht="15" hidden="false" customHeight="false" outlineLevel="0" collapsed="false">
      <c r="A23" s="10" t="s">
        <v>121</v>
      </c>
      <c r="B23" s="10" t="s">
        <v>85</v>
      </c>
      <c r="C23" s="10" t="s">
        <v>122</v>
      </c>
      <c r="D23" s="11" t="n">
        <v>98488</v>
      </c>
      <c r="E23" s="12" t="n">
        <v>134.73</v>
      </c>
      <c r="F23" s="12" t="n">
        <v>109.55</v>
      </c>
      <c r="G23" s="12" t="n">
        <v>277.14</v>
      </c>
      <c r="H23" s="12" t="n">
        <v>54.65</v>
      </c>
      <c r="I23" s="11" t="n">
        <v>124</v>
      </c>
      <c r="J23" s="11" t="n">
        <v>162</v>
      </c>
      <c r="K23" s="11" t="n">
        <v>6</v>
      </c>
      <c r="L23" s="11" t="n">
        <v>27</v>
      </c>
      <c r="M23" s="12" t="n">
        <v>210.4</v>
      </c>
      <c r="N23" s="12" t="n">
        <v>4.98</v>
      </c>
      <c r="O23" s="9" t="n">
        <f aca="false">IFERROR(D23/G23/(Parameters!$B$8/Parameters!$B$9),0)</f>
        <v>177.564831397348</v>
      </c>
      <c r="P23" s="9" t="n">
        <f aca="false">IFERROR(G23/E23,0)</f>
        <v>2.05700289467825</v>
      </c>
      <c r="Q23" s="13" t="n">
        <f aca="false">G23*H23</f>
        <v>15145.701</v>
      </c>
      <c r="R23" s="15" t="n">
        <f aca="false">100*I23/Parameters!$B$8</f>
        <v>16.9630642954856</v>
      </c>
      <c r="S23" s="15" t="n">
        <f aca="false">100*J23/Parameters!$B$8</f>
        <v>22.1614227086183</v>
      </c>
      <c r="T23" s="14" t="str">
        <f aca="false">IF(OR(R23&lt;Parameters!$B$16,R23&gt;Parameters!$B$17),"YES","no - within noise")</f>
        <v>no - within noise</v>
      </c>
      <c r="U23" s="14" t="str">
        <f aca="false">IF(OR(S23&lt;Parameters!$B$19,S23&gt;Parameters!$B$20),"YES","no - within noise")</f>
        <v>no - within noise</v>
      </c>
      <c r="V23" s="14" t="str">
        <f aca="false">IF(AND(T23="YES",R23&gt;Parameters!$B$17),"Watch - stockout",IF(AND(U23="YES",S23&gt;Parameters!$B$20),"Watch - excess capital","Routine"))</f>
        <v>Routine</v>
      </c>
    </row>
    <row r="24" customFormat="false" ht="15" hidden="false" customHeight="false" outlineLevel="0" collapsed="false">
      <c r="A24" s="10" t="s">
        <v>123</v>
      </c>
      <c r="B24" s="10" t="s">
        <v>85</v>
      </c>
      <c r="C24" s="10" t="s">
        <v>124</v>
      </c>
      <c r="D24" s="11" t="n">
        <v>101144</v>
      </c>
      <c r="E24" s="12" t="n">
        <v>138.36</v>
      </c>
      <c r="F24" s="12" t="n">
        <v>111.25</v>
      </c>
      <c r="G24" s="12" t="n">
        <v>276.02</v>
      </c>
      <c r="H24" s="12" t="n">
        <v>56.24</v>
      </c>
      <c r="I24" s="11" t="n">
        <v>135</v>
      </c>
      <c r="J24" s="11" t="n">
        <v>126</v>
      </c>
      <c r="K24" s="11" t="n">
        <v>3</v>
      </c>
      <c r="L24" s="11" t="n">
        <v>23</v>
      </c>
      <c r="M24" s="12" t="n">
        <v>143.6</v>
      </c>
      <c r="N24" s="12" t="n">
        <v>5.14</v>
      </c>
      <c r="O24" s="9" t="n">
        <f aca="false">IFERROR(D24/G24/(Parameters!$B$8/Parameters!$B$9),0)</f>
        <v>183.093286822432</v>
      </c>
      <c r="P24" s="9" t="n">
        <f aca="false">IFERROR(G24/E24,0)</f>
        <v>1.99494073431628</v>
      </c>
      <c r="Q24" s="13" t="n">
        <f aca="false">G24*H24</f>
        <v>15523.3648</v>
      </c>
      <c r="R24" s="15" t="n">
        <f aca="false">100*I24/Parameters!$B$8</f>
        <v>18.4678522571819</v>
      </c>
      <c r="S24" s="15" t="n">
        <f aca="false">100*J24/Parameters!$B$8</f>
        <v>17.2366621067031</v>
      </c>
      <c r="T24" s="14" t="str">
        <f aca="false">IF(OR(R24&lt;Parameters!$B$16,R24&gt;Parameters!$B$17),"YES","no - within noise")</f>
        <v>no - within noise</v>
      </c>
      <c r="U24" s="14" t="str">
        <f aca="false">IF(OR(S24&lt;Parameters!$B$19,S24&gt;Parameters!$B$20),"YES","no - within noise")</f>
        <v>no - within noise</v>
      </c>
      <c r="V24" s="14" t="str">
        <f aca="false">IF(AND(T24="YES",R24&gt;Parameters!$B$17),"Watch - stockout",IF(AND(U24="YES",S24&gt;Parameters!$B$20),"Watch - excess capital","Routine"))</f>
        <v>Routine</v>
      </c>
    </row>
    <row r="25" customFormat="false" ht="15" hidden="false" customHeight="false" outlineLevel="0" collapsed="false">
      <c r="A25" s="10" t="s">
        <v>125</v>
      </c>
      <c r="B25" s="10" t="s">
        <v>126</v>
      </c>
      <c r="C25" s="10" t="s">
        <v>86</v>
      </c>
      <c r="D25" s="11" t="n">
        <v>105999</v>
      </c>
      <c r="E25" s="12" t="n">
        <v>145.01</v>
      </c>
      <c r="F25" s="12" t="n">
        <v>113.57</v>
      </c>
      <c r="G25" s="12" t="n">
        <v>278.34</v>
      </c>
      <c r="H25" s="12" t="n">
        <v>54.43</v>
      </c>
      <c r="I25" s="11" t="n">
        <v>143</v>
      </c>
      <c r="J25" s="11" t="n">
        <v>102</v>
      </c>
      <c r="K25" s="11" t="n">
        <v>2</v>
      </c>
      <c r="L25" s="11" t="n">
        <v>24</v>
      </c>
      <c r="M25" s="12" t="n">
        <v>164.2</v>
      </c>
      <c r="N25" s="12" t="n">
        <v>4.67</v>
      </c>
      <c r="O25" s="9" t="n">
        <f aca="false">IFERROR(D25/G25/(Parameters!$B$8/Parameters!$B$9),0)</f>
        <v>190.282563167389</v>
      </c>
      <c r="P25" s="9" t="n">
        <f aca="false">IFERROR(G25/E25,0)</f>
        <v>1.91945383077029</v>
      </c>
      <c r="Q25" s="13" t="n">
        <f aca="false">G25*H25</f>
        <v>15150.0462</v>
      </c>
      <c r="R25" s="15" t="n">
        <f aca="false">100*I25/Parameters!$B$8</f>
        <v>19.562243502052</v>
      </c>
      <c r="S25" s="15" t="n">
        <f aca="false">100*J25/Parameters!$B$8</f>
        <v>13.953488372093</v>
      </c>
      <c r="T25" s="14" t="str">
        <f aca="false">IF(OR(R25&lt;Parameters!$B$16,R25&gt;Parameters!$B$17),"YES","no - within noise")</f>
        <v>no - within noise</v>
      </c>
      <c r="U25" s="14" t="str">
        <f aca="false">IF(OR(S25&lt;Parameters!$B$19,S25&gt;Parameters!$B$20),"YES","no - within noise")</f>
        <v>YES</v>
      </c>
      <c r="V25" s="14" t="str">
        <f aca="false">IF(AND(T25="YES",R25&gt;Parameters!$B$17),"Watch - stockout",IF(AND(U25="YES",S25&gt;Parameters!$B$20),"Watch - excess capital","Routine"))</f>
        <v>Routine</v>
      </c>
    </row>
    <row r="26" customFormat="false" ht="15" hidden="false" customHeight="false" outlineLevel="0" collapsed="false">
      <c r="A26" s="10" t="s">
        <v>127</v>
      </c>
      <c r="B26" s="10" t="s">
        <v>126</v>
      </c>
      <c r="C26" s="10" t="s">
        <v>88</v>
      </c>
      <c r="D26" s="11" t="n">
        <v>94143</v>
      </c>
      <c r="E26" s="12" t="n">
        <v>128.79</v>
      </c>
      <c r="F26" s="12" t="n">
        <v>106.05</v>
      </c>
      <c r="G26" s="12" t="n">
        <v>266.43</v>
      </c>
      <c r="H26" s="12" t="n">
        <v>55.57</v>
      </c>
      <c r="I26" s="11" t="n">
        <v>143</v>
      </c>
      <c r="J26" s="11" t="n">
        <v>164</v>
      </c>
      <c r="K26" s="11" t="n">
        <v>3</v>
      </c>
      <c r="L26" s="11" t="n">
        <v>24</v>
      </c>
      <c r="M26" s="12" t="n">
        <v>168.9</v>
      </c>
      <c r="N26" s="12" t="n">
        <v>5</v>
      </c>
      <c r="O26" s="9" t="n">
        <f aca="false">IFERROR(D26/G26/(Parameters!$B$8/Parameters!$B$9),0)</f>
        <v>176.55407931379</v>
      </c>
      <c r="P26" s="9" t="n">
        <f aca="false">IFERROR(G26/E26,0)</f>
        <v>2.0687165152574</v>
      </c>
      <c r="Q26" s="13" t="n">
        <f aca="false">G26*H26</f>
        <v>14805.5151</v>
      </c>
      <c r="R26" s="15" t="n">
        <f aca="false">100*I26/Parameters!$B$8</f>
        <v>19.562243502052</v>
      </c>
      <c r="S26" s="15" t="n">
        <f aca="false">100*J26/Parameters!$B$8</f>
        <v>22.4350205198358</v>
      </c>
      <c r="T26" s="14" t="str">
        <f aca="false">IF(OR(R26&lt;Parameters!$B$16,R26&gt;Parameters!$B$17),"YES","no - within noise")</f>
        <v>no - within noise</v>
      </c>
      <c r="U26" s="14" t="str">
        <f aca="false">IF(OR(S26&lt;Parameters!$B$19,S26&gt;Parameters!$B$20),"YES","no - within noise")</f>
        <v>no - within noise</v>
      </c>
      <c r="V26" s="14" t="str">
        <f aca="false">IF(AND(T26="YES",R26&gt;Parameters!$B$17),"Watch - stockout",IF(AND(U26="YES",S26&gt;Parameters!$B$20),"Watch - excess capital","Routine"))</f>
        <v>Routine</v>
      </c>
    </row>
    <row r="27" customFormat="false" ht="15" hidden="false" customHeight="false" outlineLevel="0" collapsed="false">
      <c r="A27" s="10" t="s">
        <v>128</v>
      </c>
      <c r="B27" s="10" t="s">
        <v>126</v>
      </c>
      <c r="C27" s="10" t="s">
        <v>90</v>
      </c>
      <c r="D27" s="11" t="n">
        <v>97227</v>
      </c>
      <c r="E27" s="12" t="n">
        <v>133.01</v>
      </c>
      <c r="F27" s="12" t="n">
        <v>111.34</v>
      </c>
      <c r="G27" s="12" t="n">
        <v>273.9</v>
      </c>
      <c r="H27" s="12" t="n">
        <v>55.13</v>
      </c>
      <c r="I27" s="11" t="n">
        <v>134</v>
      </c>
      <c r="J27" s="11" t="n">
        <v>154</v>
      </c>
      <c r="K27" s="11" t="n">
        <v>5</v>
      </c>
      <c r="L27" s="11" t="n">
        <v>19</v>
      </c>
      <c r="M27" s="12" t="n">
        <v>87.2</v>
      </c>
      <c r="N27" s="12" t="n">
        <v>5.16</v>
      </c>
      <c r="O27" s="9" t="n">
        <f aca="false">IFERROR(D27/G27/(Parameters!$B$8/Parameters!$B$9),0)</f>
        <v>177.36490920778</v>
      </c>
      <c r="P27" s="9" t="n">
        <f aca="false">IFERROR(G27/E27,0)</f>
        <v>2.05924366588978</v>
      </c>
      <c r="Q27" s="13" t="n">
        <f aca="false">G27*H27</f>
        <v>15100.107</v>
      </c>
      <c r="R27" s="15" t="n">
        <f aca="false">100*I27/Parameters!$B$8</f>
        <v>18.3310533515732</v>
      </c>
      <c r="S27" s="15" t="n">
        <f aca="false">100*J27/Parameters!$B$8</f>
        <v>21.0670314637483</v>
      </c>
      <c r="T27" s="14" t="str">
        <f aca="false">IF(OR(R27&lt;Parameters!$B$16,R27&gt;Parameters!$B$17),"YES","no - within noise")</f>
        <v>no - within noise</v>
      </c>
      <c r="U27" s="14" t="str">
        <f aca="false">IF(OR(S27&lt;Parameters!$B$19,S27&gt;Parameters!$B$20),"YES","no - within noise")</f>
        <v>no - within noise</v>
      </c>
      <c r="V27" s="14" t="str">
        <f aca="false">IF(AND(T27="YES",R27&gt;Parameters!$B$17),"Watch - stockout",IF(AND(U27="YES",S27&gt;Parameters!$B$20),"Watch - excess capital","Routine"))</f>
        <v>Routine</v>
      </c>
    </row>
    <row r="28" customFormat="false" ht="15" hidden="false" customHeight="false" outlineLevel="0" collapsed="false">
      <c r="A28" s="10" t="s">
        <v>129</v>
      </c>
      <c r="B28" s="10" t="s">
        <v>126</v>
      </c>
      <c r="C28" s="10" t="s">
        <v>92</v>
      </c>
      <c r="D28" s="11" t="n">
        <v>101190</v>
      </c>
      <c r="E28" s="12" t="n">
        <v>138.43</v>
      </c>
      <c r="F28" s="12" t="n">
        <v>108.65</v>
      </c>
      <c r="G28" s="12" t="n">
        <v>272.06</v>
      </c>
      <c r="H28" s="12" t="n">
        <v>54.98</v>
      </c>
      <c r="I28" s="11" t="n">
        <v>135</v>
      </c>
      <c r="J28" s="11" t="n">
        <v>125</v>
      </c>
      <c r="K28" s="11" t="n">
        <v>3</v>
      </c>
      <c r="L28" s="11" t="n">
        <v>35</v>
      </c>
      <c r="M28" s="12" t="n">
        <v>201.8</v>
      </c>
      <c r="N28" s="12" t="n">
        <v>5.25</v>
      </c>
      <c r="O28" s="9" t="n">
        <f aca="false">IFERROR(D28/G28/(Parameters!$B$8/Parameters!$B$9),0)</f>
        <v>185.842804149282</v>
      </c>
      <c r="P28" s="9" t="n">
        <f aca="false">IFERROR(G28/E28,0)</f>
        <v>1.96532543523803</v>
      </c>
      <c r="Q28" s="13" t="n">
        <f aca="false">G28*H28</f>
        <v>14957.8588</v>
      </c>
      <c r="R28" s="15" t="n">
        <f aca="false">100*I28/Parameters!$B$8</f>
        <v>18.4678522571819</v>
      </c>
      <c r="S28" s="15" t="n">
        <f aca="false">100*J28/Parameters!$B$8</f>
        <v>17.0998632010944</v>
      </c>
      <c r="T28" s="14" t="str">
        <f aca="false">IF(OR(R28&lt;Parameters!$B$16,R28&gt;Parameters!$B$17),"YES","no - within noise")</f>
        <v>no - within noise</v>
      </c>
      <c r="U28" s="14" t="str">
        <f aca="false">IF(OR(S28&lt;Parameters!$B$19,S28&gt;Parameters!$B$20),"YES","no - within noise")</f>
        <v>no - within noise</v>
      </c>
      <c r="V28" s="14" t="str">
        <f aca="false">IF(AND(T28="YES",R28&gt;Parameters!$B$17),"Watch - stockout",IF(AND(U28="YES",S28&gt;Parameters!$B$20),"Watch - excess capital","Routine"))</f>
        <v>Routine</v>
      </c>
    </row>
    <row r="29" customFormat="false" ht="15" hidden="false" customHeight="false" outlineLevel="0" collapsed="false">
      <c r="A29" s="10" t="s">
        <v>130</v>
      </c>
      <c r="B29" s="10" t="s">
        <v>126</v>
      </c>
      <c r="C29" s="10" t="s">
        <v>94</v>
      </c>
      <c r="D29" s="11" t="n">
        <v>96910</v>
      </c>
      <c r="E29" s="12" t="n">
        <v>132.57</v>
      </c>
      <c r="F29" s="12" t="n">
        <v>104.44</v>
      </c>
      <c r="G29" s="12" t="n">
        <v>271.09</v>
      </c>
      <c r="H29" s="12" t="n">
        <v>56.4</v>
      </c>
      <c r="I29" s="11" t="n">
        <v>124</v>
      </c>
      <c r="J29" s="11" t="n">
        <v>149</v>
      </c>
      <c r="K29" s="11" t="n">
        <v>6</v>
      </c>
      <c r="L29" s="11" t="n">
        <v>23</v>
      </c>
      <c r="M29" s="12" t="n">
        <v>207.2</v>
      </c>
      <c r="N29" s="12" t="n">
        <v>5.18</v>
      </c>
      <c r="O29" s="9" t="n">
        <f aca="false">IFERROR(D29/G29/(Parameters!$B$8/Parameters!$B$9),0)</f>
        <v>178.619119278261</v>
      </c>
      <c r="P29" s="9" t="n">
        <f aca="false">IFERROR(G29/E29,0)</f>
        <v>2.04488194915893</v>
      </c>
      <c r="Q29" s="13" t="n">
        <f aca="false">G29*H29</f>
        <v>15289.476</v>
      </c>
      <c r="R29" s="15" t="n">
        <f aca="false">100*I29/Parameters!$B$8</f>
        <v>16.9630642954856</v>
      </c>
      <c r="S29" s="15" t="n">
        <f aca="false">100*J29/Parameters!$B$8</f>
        <v>20.3830369357045</v>
      </c>
      <c r="T29" s="14" t="str">
        <f aca="false">IF(OR(R29&lt;Parameters!$B$16,R29&gt;Parameters!$B$17),"YES","no - within noise")</f>
        <v>no - within noise</v>
      </c>
      <c r="U29" s="14" t="str">
        <f aca="false">IF(OR(S29&lt;Parameters!$B$19,S29&gt;Parameters!$B$20),"YES","no - within noise")</f>
        <v>no - within noise</v>
      </c>
      <c r="V29" s="14" t="str">
        <f aca="false">IF(AND(T29="YES",R29&gt;Parameters!$B$17),"Watch - stockout",IF(AND(U29="YES",S29&gt;Parameters!$B$20),"Watch - excess capital","Routine"))</f>
        <v>Routine</v>
      </c>
    </row>
    <row r="30" customFormat="false" ht="15" hidden="false" customHeight="false" outlineLevel="0" collapsed="false">
      <c r="A30" s="10" t="s">
        <v>131</v>
      </c>
      <c r="B30" s="10" t="s">
        <v>126</v>
      </c>
      <c r="C30" s="10" t="s">
        <v>96</v>
      </c>
      <c r="D30" s="11" t="n">
        <v>97418</v>
      </c>
      <c r="E30" s="12" t="n">
        <v>133.27</v>
      </c>
      <c r="F30" s="12" t="n">
        <v>105.04</v>
      </c>
      <c r="G30" s="12" t="n">
        <v>270.12</v>
      </c>
      <c r="H30" s="12" t="n">
        <v>54.46</v>
      </c>
      <c r="I30" s="11" t="n">
        <v>149</v>
      </c>
      <c r="J30" s="11" t="n">
        <v>145</v>
      </c>
      <c r="K30" s="11" t="n">
        <v>4</v>
      </c>
      <c r="L30" s="11" t="n">
        <v>18</v>
      </c>
      <c r="M30" s="12" t="n">
        <v>128</v>
      </c>
      <c r="N30" s="12" t="n">
        <v>4.23</v>
      </c>
      <c r="O30" s="9" t="n">
        <f aca="false">IFERROR(D30/G30/(Parameters!$B$8/Parameters!$B$9),0)</f>
        <v>180.200219571056</v>
      </c>
      <c r="P30" s="9" t="n">
        <f aca="false">IFERROR(G30/E30,0)</f>
        <v>2.02686275981091</v>
      </c>
      <c r="Q30" s="13" t="n">
        <f aca="false">G30*H30</f>
        <v>14710.7352</v>
      </c>
      <c r="R30" s="15" t="n">
        <f aca="false">100*I30/Parameters!$B$8</f>
        <v>20.3830369357045</v>
      </c>
      <c r="S30" s="15" t="n">
        <f aca="false">100*J30/Parameters!$B$8</f>
        <v>19.8358413132695</v>
      </c>
      <c r="T30" s="14" t="str">
        <f aca="false">IF(OR(R30&lt;Parameters!$B$16,R30&gt;Parameters!$B$17),"YES","no - within noise")</f>
        <v>no - within noise</v>
      </c>
      <c r="U30" s="14" t="str">
        <f aca="false">IF(OR(S30&lt;Parameters!$B$19,S30&gt;Parameters!$B$20),"YES","no - within noise")</f>
        <v>no - within noise</v>
      </c>
      <c r="V30" s="14" t="str">
        <f aca="false">IF(AND(T30="YES",R30&gt;Parameters!$B$17),"Watch - stockout",IF(AND(U30="YES",S30&gt;Parameters!$B$20),"Watch - excess capital","Routine"))</f>
        <v>Routine</v>
      </c>
    </row>
    <row r="31" customFormat="false" ht="15" hidden="false" customHeight="false" outlineLevel="0" collapsed="false">
      <c r="A31" s="10" t="s">
        <v>132</v>
      </c>
      <c r="B31" s="10" t="s">
        <v>126</v>
      </c>
      <c r="C31" s="10" t="s">
        <v>98</v>
      </c>
      <c r="D31" s="11" t="n">
        <v>100601</v>
      </c>
      <c r="E31" s="12" t="n">
        <v>137.62</v>
      </c>
      <c r="F31" s="12" t="n">
        <v>112.77</v>
      </c>
      <c r="G31" s="12" t="n">
        <v>274.86</v>
      </c>
      <c r="H31" s="12" t="n">
        <v>55.55</v>
      </c>
      <c r="I31" s="11" t="n">
        <v>136</v>
      </c>
      <c r="J31" s="11" t="n">
        <v>147</v>
      </c>
      <c r="K31" s="11" t="n">
        <v>3</v>
      </c>
      <c r="L31" s="11" t="n">
        <v>24</v>
      </c>
      <c r="M31" s="12" t="n">
        <v>132.2</v>
      </c>
      <c r="N31" s="12" t="n">
        <v>5.16</v>
      </c>
      <c r="O31" s="9" t="n">
        <f aca="false">IFERROR(D31/G31/(Parameters!$B$8/Parameters!$B$9),0)</f>
        <v>182.878901015943</v>
      </c>
      <c r="P31" s="9" t="n">
        <f aca="false">IFERROR(G31/E31,0)</f>
        <v>1.99723877343409</v>
      </c>
      <c r="Q31" s="13" t="n">
        <f aca="false">G31*H31</f>
        <v>15268.473</v>
      </c>
      <c r="R31" s="15" t="n">
        <f aca="false">100*I31/Parameters!$B$8</f>
        <v>18.6046511627907</v>
      </c>
      <c r="S31" s="15" t="n">
        <f aca="false">100*J31/Parameters!$B$8</f>
        <v>20.109439124487</v>
      </c>
      <c r="T31" s="14" t="str">
        <f aca="false">IF(OR(R31&lt;Parameters!$B$16,R31&gt;Parameters!$B$17),"YES","no - within noise")</f>
        <v>no - within noise</v>
      </c>
      <c r="U31" s="14" t="str">
        <f aca="false">IF(OR(S31&lt;Parameters!$B$19,S31&gt;Parameters!$B$20),"YES","no - within noise")</f>
        <v>no - within noise</v>
      </c>
      <c r="V31" s="14" t="str">
        <f aca="false">IF(AND(T31="YES",R31&gt;Parameters!$B$17),"Watch - stockout",IF(AND(U31="YES",S31&gt;Parameters!$B$20),"Watch - excess capital","Routine"))</f>
        <v>Routine</v>
      </c>
    </row>
    <row r="32" customFormat="false" ht="15" hidden="false" customHeight="false" outlineLevel="0" collapsed="false">
      <c r="A32" s="10" t="s">
        <v>133</v>
      </c>
      <c r="B32" s="10" t="s">
        <v>126</v>
      </c>
      <c r="C32" s="10" t="s">
        <v>100</v>
      </c>
      <c r="D32" s="11" t="n">
        <v>94225</v>
      </c>
      <c r="E32" s="12" t="n">
        <v>128.9</v>
      </c>
      <c r="F32" s="12" t="n">
        <v>106.85</v>
      </c>
      <c r="G32" s="12" t="n">
        <v>268.77</v>
      </c>
      <c r="H32" s="12" t="n">
        <v>55.93</v>
      </c>
      <c r="I32" s="11" t="n">
        <v>126</v>
      </c>
      <c r="J32" s="11" t="n">
        <v>156</v>
      </c>
      <c r="K32" s="11" t="n">
        <v>2</v>
      </c>
      <c r="L32" s="11" t="n">
        <v>36</v>
      </c>
      <c r="M32" s="12" t="n">
        <v>204.4</v>
      </c>
      <c r="N32" s="12" t="n">
        <v>5.16</v>
      </c>
      <c r="O32" s="9" t="n">
        <f aca="false">IFERROR(D32/G32/(Parameters!$B$8/Parameters!$B$9),0)</f>
        <v>175.169383888818</v>
      </c>
      <c r="P32" s="9" t="n">
        <f aca="false">IFERROR(G32/E32,0)</f>
        <v>2.08510473235066</v>
      </c>
      <c r="Q32" s="13" t="n">
        <f aca="false">G32*H32</f>
        <v>15032.3061</v>
      </c>
      <c r="R32" s="15" t="n">
        <f aca="false">100*I32/Parameters!$B$8</f>
        <v>17.2366621067031</v>
      </c>
      <c r="S32" s="15" t="n">
        <f aca="false">100*J32/Parameters!$B$8</f>
        <v>21.3406292749658</v>
      </c>
      <c r="T32" s="14" t="str">
        <f aca="false">IF(OR(R32&lt;Parameters!$B$16,R32&gt;Parameters!$B$17),"YES","no - within noise")</f>
        <v>no - within noise</v>
      </c>
      <c r="U32" s="14" t="str">
        <f aca="false">IF(OR(S32&lt;Parameters!$B$19,S32&gt;Parameters!$B$20),"YES","no - within noise")</f>
        <v>no - within noise</v>
      </c>
      <c r="V32" s="14" t="str">
        <f aca="false">IF(AND(T32="YES",R32&gt;Parameters!$B$17),"Watch - stockout",IF(AND(U32="YES",S32&gt;Parameters!$B$20),"Watch - excess capital","Routine"))</f>
        <v>Routine</v>
      </c>
    </row>
    <row r="33" customFormat="false" ht="15" hidden="false" customHeight="false" outlineLevel="0" collapsed="false">
      <c r="A33" s="10" t="s">
        <v>134</v>
      </c>
      <c r="B33" s="10" t="s">
        <v>126</v>
      </c>
      <c r="C33" s="10" t="s">
        <v>102</v>
      </c>
      <c r="D33" s="11" t="n">
        <v>105376</v>
      </c>
      <c r="E33" s="12" t="n">
        <v>144.15</v>
      </c>
      <c r="F33" s="12" t="n">
        <v>112.42</v>
      </c>
      <c r="G33" s="12" t="n">
        <v>282.95</v>
      </c>
      <c r="H33" s="12" t="n">
        <v>56.02</v>
      </c>
      <c r="I33" s="11" t="n">
        <v>137</v>
      </c>
      <c r="J33" s="11" t="n">
        <v>110</v>
      </c>
      <c r="K33" s="11" t="n">
        <v>4</v>
      </c>
      <c r="L33" s="11" t="n">
        <v>27</v>
      </c>
      <c r="M33" s="12" t="n">
        <v>219.7</v>
      </c>
      <c r="N33" s="12" t="n">
        <v>5.02</v>
      </c>
      <c r="O33" s="9" t="n">
        <f aca="false">IFERROR(D33/G33/(Parameters!$B$8/Parameters!$B$9),0)</f>
        <v>186.082211331707</v>
      </c>
      <c r="P33" s="9" t="n">
        <f aca="false">IFERROR(G33/E33,0)</f>
        <v>1.96288588276101</v>
      </c>
      <c r="Q33" s="13" t="n">
        <f aca="false">G33*H33</f>
        <v>15850.859</v>
      </c>
      <c r="R33" s="15" t="n">
        <f aca="false">100*I33/Parameters!$B$8</f>
        <v>18.7414500683995</v>
      </c>
      <c r="S33" s="15" t="n">
        <f aca="false">100*J33/Parameters!$B$8</f>
        <v>15.0478796169631</v>
      </c>
      <c r="T33" s="14" t="str">
        <f aca="false">IF(OR(R33&lt;Parameters!$B$16,R33&gt;Parameters!$B$17),"YES","no - within noise")</f>
        <v>no - within noise</v>
      </c>
      <c r="U33" s="14" t="str">
        <f aca="false">IF(OR(S33&lt;Parameters!$B$19,S33&gt;Parameters!$B$20),"YES","no - within noise")</f>
        <v>no - within noise</v>
      </c>
      <c r="V33" s="14" t="str">
        <f aca="false">IF(AND(T33="YES",R33&gt;Parameters!$B$17),"Watch - stockout",IF(AND(U33="YES",S33&gt;Parameters!$B$20),"Watch - excess capital","Routine"))</f>
        <v>Routine</v>
      </c>
    </row>
    <row r="34" customFormat="false" ht="15" hidden="false" customHeight="false" outlineLevel="0" collapsed="false">
      <c r="A34" s="10" t="s">
        <v>135</v>
      </c>
      <c r="B34" s="10" t="s">
        <v>126</v>
      </c>
      <c r="C34" s="10" t="s">
        <v>104</v>
      </c>
      <c r="D34" s="11" t="n">
        <v>99012</v>
      </c>
      <c r="E34" s="12" t="n">
        <v>135.45</v>
      </c>
      <c r="F34" s="12" t="n">
        <v>112.87</v>
      </c>
      <c r="G34" s="12" t="n">
        <v>272.55</v>
      </c>
      <c r="H34" s="12" t="n">
        <v>54.26</v>
      </c>
      <c r="I34" s="11" t="n">
        <v>137</v>
      </c>
      <c r="J34" s="11" t="n">
        <v>135</v>
      </c>
      <c r="K34" s="11" t="n">
        <v>3</v>
      </c>
      <c r="L34" s="11" t="n">
        <v>25</v>
      </c>
      <c r="M34" s="12" t="n">
        <v>124.3</v>
      </c>
      <c r="N34" s="12" t="n">
        <v>4.85</v>
      </c>
      <c r="O34" s="9" t="n">
        <f aca="false">IFERROR(D34/G34/(Parameters!$B$8/Parameters!$B$9),0)</f>
        <v>181.515825231681</v>
      </c>
      <c r="P34" s="9" t="n">
        <f aca="false">IFERROR(G34/E34,0)</f>
        <v>2.01218161683278</v>
      </c>
      <c r="Q34" s="13" t="n">
        <f aca="false">G34*H34</f>
        <v>14788.563</v>
      </c>
      <c r="R34" s="15" t="n">
        <f aca="false">100*I34/Parameters!$B$8</f>
        <v>18.7414500683995</v>
      </c>
      <c r="S34" s="15" t="n">
        <f aca="false">100*J34/Parameters!$B$8</f>
        <v>18.4678522571819</v>
      </c>
      <c r="T34" s="14" t="str">
        <f aca="false">IF(OR(R34&lt;Parameters!$B$16,R34&gt;Parameters!$B$17),"YES","no - within noise")</f>
        <v>no - within noise</v>
      </c>
      <c r="U34" s="14" t="str">
        <f aca="false">IF(OR(S34&lt;Parameters!$B$19,S34&gt;Parameters!$B$20),"YES","no - within noise")</f>
        <v>no - within noise</v>
      </c>
      <c r="V34" s="14" t="str">
        <f aca="false">IF(AND(T34="YES",R34&gt;Parameters!$B$17),"Watch - stockout",IF(AND(U34="YES",S34&gt;Parameters!$B$20),"Watch - excess capital","Routine"))</f>
        <v>Routine</v>
      </c>
    </row>
    <row r="35" customFormat="false" ht="15" hidden="false" customHeight="false" outlineLevel="0" collapsed="false">
      <c r="A35" s="10" t="s">
        <v>136</v>
      </c>
      <c r="B35" s="10" t="s">
        <v>126</v>
      </c>
      <c r="C35" s="10" t="s">
        <v>106</v>
      </c>
      <c r="D35" s="11" t="n">
        <v>99145</v>
      </c>
      <c r="E35" s="12" t="n">
        <v>135.63</v>
      </c>
      <c r="F35" s="12" t="n">
        <v>108.69</v>
      </c>
      <c r="G35" s="12" t="n">
        <v>269.35</v>
      </c>
      <c r="H35" s="12" t="n">
        <v>58.67</v>
      </c>
      <c r="I35" s="11" t="n">
        <v>151</v>
      </c>
      <c r="J35" s="11" t="n">
        <v>136</v>
      </c>
      <c r="K35" s="11" t="n">
        <v>3</v>
      </c>
      <c r="L35" s="11" t="n">
        <v>26</v>
      </c>
      <c r="M35" s="12" t="n">
        <v>115.2</v>
      </c>
      <c r="N35" s="12" t="n">
        <v>5.19</v>
      </c>
      <c r="O35" s="9" t="n">
        <f aca="false">IFERROR(D35/G35/(Parameters!$B$8/Parameters!$B$9),0)</f>
        <v>183.919037242467</v>
      </c>
      <c r="P35" s="9" t="n">
        <f aca="false">IFERROR(G35/E35,0)</f>
        <v>1.98591756985918</v>
      </c>
      <c r="Q35" s="13" t="n">
        <f aca="false">G35*H35</f>
        <v>15802.7645</v>
      </c>
      <c r="R35" s="15" t="n">
        <f aca="false">100*I35/Parameters!$B$8</f>
        <v>20.656634746922</v>
      </c>
      <c r="S35" s="15" t="n">
        <f aca="false">100*J35/Parameters!$B$8</f>
        <v>18.6046511627907</v>
      </c>
      <c r="T35" s="14" t="str">
        <f aca="false">IF(OR(R35&lt;Parameters!$B$16,R35&gt;Parameters!$B$17),"YES","no - within noise")</f>
        <v>no - within noise</v>
      </c>
      <c r="U35" s="14" t="str">
        <f aca="false">IF(OR(S35&lt;Parameters!$B$19,S35&gt;Parameters!$B$20),"YES","no - within noise")</f>
        <v>no - within noise</v>
      </c>
      <c r="V35" s="14" t="str">
        <f aca="false">IF(AND(T35="YES",R35&gt;Parameters!$B$17),"Watch - stockout",IF(AND(U35="YES",S35&gt;Parameters!$B$20),"Watch - excess capital","Routine"))</f>
        <v>Routine</v>
      </c>
    </row>
    <row r="36" customFormat="false" ht="15" hidden="false" customHeight="false" outlineLevel="0" collapsed="false">
      <c r="A36" s="10" t="s">
        <v>137</v>
      </c>
      <c r="B36" s="10" t="s">
        <v>126</v>
      </c>
      <c r="C36" s="10" t="s">
        <v>108</v>
      </c>
      <c r="D36" s="11" t="n">
        <v>102528</v>
      </c>
      <c r="E36" s="12" t="n">
        <v>140.26</v>
      </c>
      <c r="F36" s="12" t="n">
        <v>111.78</v>
      </c>
      <c r="G36" s="12" t="n">
        <v>271.63</v>
      </c>
      <c r="H36" s="12" t="n">
        <v>52.96</v>
      </c>
      <c r="I36" s="11" t="n">
        <v>141</v>
      </c>
      <c r="J36" s="11" t="n">
        <v>117</v>
      </c>
      <c r="K36" s="11" t="n">
        <v>4</v>
      </c>
      <c r="L36" s="11" t="n">
        <v>22</v>
      </c>
      <c r="M36" s="12" t="n">
        <v>188.5</v>
      </c>
      <c r="N36" s="12" t="n">
        <v>5.08</v>
      </c>
      <c r="O36" s="9" t="n">
        <f aca="false">IFERROR(D36/G36/(Parameters!$B$8/Parameters!$B$9),0)</f>
        <v>188.598224439548</v>
      </c>
      <c r="P36" s="9" t="n">
        <f aca="false">IFERROR(G36/E36,0)</f>
        <v>1.9366177099672</v>
      </c>
      <c r="Q36" s="13" t="n">
        <f aca="false">G36*H36</f>
        <v>14385.5248</v>
      </c>
      <c r="R36" s="15" t="n">
        <f aca="false">100*I36/Parameters!$B$8</f>
        <v>19.2886456908345</v>
      </c>
      <c r="S36" s="15" t="n">
        <f aca="false">100*J36/Parameters!$B$8</f>
        <v>16.0054719562244</v>
      </c>
      <c r="T36" s="14" t="str">
        <f aca="false">IF(OR(R36&lt;Parameters!$B$16,R36&gt;Parameters!$B$17),"YES","no - within noise")</f>
        <v>no - within noise</v>
      </c>
      <c r="U36" s="14" t="str">
        <f aca="false">IF(OR(S36&lt;Parameters!$B$19,S36&gt;Parameters!$B$20),"YES","no - within noise")</f>
        <v>no - within noise</v>
      </c>
      <c r="V36" s="14" t="str">
        <f aca="false">IF(AND(T36="YES",R36&gt;Parameters!$B$17),"Watch - stockout",IF(AND(U36="YES",S36&gt;Parameters!$B$20),"Watch - excess capital","Routine"))</f>
        <v>Routine</v>
      </c>
    </row>
    <row r="37" customFormat="false" ht="15" hidden="false" customHeight="false" outlineLevel="0" collapsed="false">
      <c r="A37" s="10" t="s">
        <v>138</v>
      </c>
      <c r="B37" s="10" t="s">
        <v>126</v>
      </c>
      <c r="C37" s="10" t="s">
        <v>110</v>
      </c>
      <c r="D37" s="11" t="n">
        <v>98116</v>
      </c>
      <c r="E37" s="12" t="n">
        <v>134.22</v>
      </c>
      <c r="F37" s="12" t="n">
        <v>106.21</v>
      </c>
      <c r="G37" s="12" t="n">
        <v>277.55</v>
      </c>
      <c r="H37" s="12" t="n">
        <v>55.54</v>
      </c>
      <c r="I37" s="11" t="n">
        <v>140</v>
      </c>
      <c r="J37" s="11" t="n">
        <v>148</v>
      </c>
      <c r="K37" s="11" t="n">
        <v>2</v>
      </c>
      <c r="L37" s="11" t="n">
        <v>31</v>
      </c>
      <c r="M37" s="12" t="n">
        <v>182.9</v>
      </c>
      <c r="N37" s="12" t="n">
        <v>5.59</v>
      </c>
      <c r="O37" s="9" t="n">
        <f aca="false">IFERROR(D37/G37/(Parameters!$B$8/Parameters!$B$9),0)</f>
        <v>176.632839475566</v>
      </c>
      <c r="P37" s="9" t="n">
        <f aca="false">IFERROR(G37/E37,0)</f>
        <v>2.06787364029206</v>
      </c>
      <c r="Q37" s="13" t="n">
        <f aca="false">G37*H37</f>
        <v>15415.127</v>
      </c>
      <c r="R37" s="15" t="n">
        <f aca="false">100*I37/Parameters!$B$8</f>
        <v>19.1518467852257</v>
      </c>
      <c r="S37" s="15" t="n">
        <f aca="false">100*J37/Parameters!$B$8</f>
        <v>20.2462380300958</v>
      </c>
      <c r="T37" s="14" t="str">
        <f aca="false">IF(OR(R37&lt;Parameters!$B$16,R37&gt;Parameters!$B$17),"YES","no - within noise")</f>
        <v>no - within noise</v>
      </c>
      <c r="U37" s="14" t="str">
        <f aca="false">IF(OR(S37&lt;Parameters!$B$19,S37&gt;Parameters!$B$20),"YES","no - within noise")</f>
        <v>no - within noise</v>
      </c>
      <c r="V37" s="14" t="str">
        <f aca="false">IF(AND(T37="YES",R37&gt;Parameters!$B$17),"Watch - stockout",IF(AND(U37="YES",S37&gt;Parameters!$B$20),"Watch - excess capital","Routine"))</f>
        <v>Routine</v>
      </c>
    </row>
    <row r="38" customFormat="false" ht="15" hidden="false" customHeight="false" outlineLevel="0" collapsed="false">
      <c r="A38" s="10" t="s">
        <v>139</v>
      </c>
      <c r="B38" s="10" t="s">
        <v>126</v>
      </c>
      <c r="C38" s="10" t="s">
        <v>112</v>
      </c>
      <c r="D38" s="11" t="n">
        <v>98251</v>
      </c>
      <c r="E38" s="12" t="n">
        <v>134.41</v>
      </c>
      <c r="F38" s="12" t="n">
        <v>105.01</v>
      </c>
      <c r="G38" s="12" t="n">
        <v>272.16</v>
      </c>
      <c r="H38" s="12" t="n">
        <v>55.68</v>
      </c>
      <c r="I38" s="11" t="n">
        <v>143</v>
      </c>
      <c r="J38" s="11" t="n">
        <v>143</v>
      </c>
      <c r="K38" s="11" t="n">
        <v>4</v>
      </c>
      <c r="L38" s="11" t="n">
        <v>26</v>
      </c>
      <c r="M38" s="12" t="n">
        <v>169.7</v>
      </c>
      <c r="N38" s="12" t="n">
        <v>5.2</v>
      </c>
      <c r="O38" s="9" t="n">
        <f aca="false">IFERROR(D38/G38/(Parameters!$B$8/Parameters!$B$9),0)</f>
        <v>180.378815501222</v>
      </c>
      <c r="P38" s="9" t="n">
        <f aca="false">IFERROR(G38/E38,0)</f>
        <v>2.02484934156685</v>
      </c>
      <c r="Q38" s="13" t="n">
        <f aca="false">G38*H38</f>
        <v>15153.8688</v>
      </c>
      <c r="R38" s="15" t="n">
        <f aca="false">100*I38/Parameters!$B$8</f>
        <v>19.562243502052</v>
      </c>
      <c r="S38" s="15" t="n">
        <f aca="false">100*J38/Parameters!$B$8</f>
        <v>19.562243502052</v>
      </c>
      <c r="T38" s="14" t="str">
        <f aca="false">IF(OR(R38&lt;Parameters!$B$16,R38&gt;Parameters!$B$17),"YES","no - within noise")</f>
        <v>no - within noise</v>
      </c>
      <c r="U38" s="14" t="str">
        <f aca="false">IF(OR(S38&lt;Parameters!$B$19,S38&gt;Parameters!$B$20),"YES","no - within noise")</f>
        <v>no - within noise</v>
      </c>
      <c r="V38" s="14" t="str">
        <f aca="false">IF(AND(T38="YES",R38&gt;Parameters!$B$17),"Watch - stockout",IF(AND(U38="YES",S38&gt;Parameters!$B$20),"Watch - excess capital","Routine"))</f>
        <v>Routine</v>
      </c>
    </row>
    <row r="39" customFormat="false" ht="15" hidden="false" customHeight="false" outlineLevel="0" collapsed="false">
      <c r="A39" s="10" t="s">
        <v>140</v>
      </c>
      <c r="B39" s="10" t="s">
        <v>126</v>
      </c>
      <c r="C39" s="10" t="s">
        <v>114</v>
      </c>
      <c r="D39" s="11" t="n">
        <v>95606</v>
      </c>
      <c r="E39" s="12" t="n">
        <v>130.79</v>
      </c>
      <c r="F39" s="12" t="n">
        <v>104</v>
      </c>
      <c r="G39" s="12" t="n">
        <v>269.69</v>
      </c>
      <c r="H39" s="12" t="n">
        <v>55.65</v>
      </c>
      <c r="I39" s="11" t="n">
        <v>137</v>
      </c>
      <c r="J39" s="11" t="n">
        <v>161</v>
      </c>
      <c r="K39" s="11" t="n">
        <v>0</v>
      </c>
      <c r="L39" s="11" t="n">
        <v>22</v>
      </c>
      <c r="M39" s="12" t="n">
        <v>169.2</v>
      </c>
      <c r="N39" s="12" t="n">
        <v>5.32</v>
      </c>
      <c r="O39" s="9" t="n">
        <f aca="false">IFERROR(D39/G39/(Parameters!$B$8/Parameters!$B$9),0)</f>
        <v>177.130420147488</v>
      </c>
      <c r="P39" s="9" t="n">
        <f aca="false">IFERROR(G39/E39,0)</f>
        <v>2.06200779876137</v>
      </c>
      <c r="Q39" s="13" t="n">
        <f aca="false">G39*H39</f>
        <v>15008.2485</v>
      </c>
      <c r="R39" s="15" t="n">
        <f aca="false">100*I39/Parameters!$B$8</f>
        <v>18.7414500683995</v>
      </c>
      <c r="S39" s="15" t="n">
        <f aca="false">100*J39/Parameters!$B$8</f>
        <v>22.0246238030096</v>
      </c>
      <c r="T39" s="14" t="str">
        <f aca="false">IF(OR(R39&lt;Parameters!$B$16,R39&gt;Parameters!$B$17),"YES","no - within noise")</f>
        <v>no - within noise</v>
      </c>
      <c r="U39" s="14" t="str">
        <f aca="false">IF(OR(S39&lt;Parameters!$B$19,S39&gt;Parameters!$B$20),"YES","no - within noise")</f>
        <v>no - within noise</v>
      </c>
      <c r="V39" s="14" t="str">
        <f aca="false">IF(AND(T39="YES",R39&gt;Parameters!$B$17),"Watch - stockout",IF(AND(U39="YES",S39&gt;Parameters!$B$20),"Watch - excess capital","Routine"))</f>
        <v>Routine</v>
      </c>
    </row>
    <row r="40" customFormat="false" ht="15" hidden="false" customHeight="false" outlineLevel="0" collapsed="false">
      <c r="A40" s="10" t="s">
        <v>141</v>
      </c>
      <c r="B40" s="10" t="s">
        <v>126</v>
      </c>
      <c r="C40" s="10" t="s">
        <v>116</v>
      </c>
      <c r="D40" s="11" t="n">
        <v>101059</v>
      </c>
      <c r="E40" s="12" t="n">
        <v>138.25</v>
      </c>
      <c r="F40" s="12" t="n">
        <v>108.41</v>
      </c>
      <c r="G40" s="12" t="n">
        <v>285.47</v>
      </c>
      <c r="H40" s="12" t="n">
        <v>55.97</v>
      </c>
      <c r="I40" s="11" t="n">
        <v>131</v>
      </c>
      <c r="J40" s="11" t="n">
        <v>158</v>
      </c>
      <c r="K40" s="11" t="n">
        <v>2</v>
      </c>
      <c r="L40" s="11" t="n">
        <v>20</v>
      </c>
      <c r="M40" s="12" t="n">
        <v>144.2</v>
      </c>
      <c r="N40" s="12" t="n">
        <v>5.01</v>
      </c>
      <c r="O40" s="9" t="n">
        <f aca="false">IFERROR(D40/G40/(Parameters!$B$8/Parameters!$B$9),0)</f>
        <v>176.883518753267</v>
      </c>
      <c r="P40" s="9" t="n">
        <f aca="false">IFERROR(G40/E40,0)</f>
        <v>2.06488245931284</v>
      </c>
      <c r="Q40" s="13" t="n">
        <f aca="false">G40*H40</f>
        <v>15977.7559</v>
      </c>
      <c r="R40" s="15" t="n">
        <f aca="false">100*I40/Parameters!$B$8</f>
        <v>17.9206566347469</v>
      </c>
      <c r="S40" s="15" t="n">
        <f aca="false">100*J40/Parameters!$B$8</f>
        <v>21.6142270861833</v>
      </c>
      <c r="T40" s="14" t="str">
        <f aca="false">IF(OR(R40&lt;Parameters!$B$16,R40&gt;Parameters!$B$17),"YES","no - within noise")</f>
        <v>no - within noise</v>
      </c>
      <c r="U40" s="14" t="str">
        <f aca="false">IF(OR(S40&lt;Parameters!$B$19,S40&gt;Parameters!$B$20),"YES","no - within noise")</f>
        <v>no - within noise</v>
      </c>
      <c r="V40" s="14" t="str">
        <f aca="false">IF(AND(T40="YES",R40&gt;Parameters!$B$17),"Watch - stockout",IF(AND(U40="YES",S40&gt;Parameters!$B$20),"Watch - excess capital","Routine"))</f>
        <v>Routine</v>
      </c>
    </row>
    <row r="41" customFormat="false" ht="15" hidden="false" customHeight="false" outlineLevel="0" collapsed="false">
      <c r="A41" s="10" t="s">
        <v>142</v>
      </c>
      <c r="B41" s="10" t="s">
        <v>126</v>
      </c>
      <c r="C41" s="10" t="s">
        <v>118</v>
      </c>
      <c r="D41" s="11" t="n">
        <v>96719</v>
      </c>
      <c r="E41" s="12" t="n">
        <v>132.31</v>
      </c>
      <c r="F41" s="12" t="n">
        <v>106.46</v>
      </c>
      <c r="G41" s="12" t="n">
        <v>274.21</v>
      </c>
      <c r="H41" s="12" t="n">
        <v>52.47</v>
      </c>
      <c r="I41" s="11" t="n">
        <v>119</v>
      </c>
      <c r="J41" s="11" t="n">
        <v>157</v>
      </c>
      <c r="K41" s="11" t="n">
        <v>3</v>
      </c>
      <c r="L41" s="11" t="n">
        <v>29</v>
      </c>
      <c r="M41" s="12" t="n">
        <v>172.6</v>
      </c>
      <c r="N41" s="12" t="n">
        <v>5.25</v>
      </c>
      <c r="O41" s="9" t="n">
        <f aca="false">IFERROR(D41/G41/(Parameters!$B$8/Parameters!$B$9),0)</f>
        <v>176.238730777948</v>
      </c>
      <c r="P41" s="9" t="n">
        <f aca="false">IFERROR(G41/E41,0)</f>
        <v>2.07248129393092</v>
      </c>
      <c r="Q41" s="13" t="n">
        <f aca="false">G41*H41</f>
        <v>14387.7987</v>
      </c>
      <c r="R41" s="15" t="n">
        <f aca="false">100*I41/Parameters!$B$8</f>
        <v>16.2790697674419</v>
      </c>
      <c r="S41" s="15" t="n">
        <f aca="false">100*J41/Parameters!$B$8</f>
        <v>21.4774281805746</v>
      </c>
      <c r="T41" s="14" t="str">
        <f aca="false">IF(OR(R41&lt;Parameters!$B$16,R41&gt;Parameters!$B$17),"YES","no - within noise")</f>
        <v>no - within noise</v>
      </c>
      <c r="U41" s="14" t="str">
        <f aca="false">IF(OR(S41&lt;Parameters!$B$19,S41&gt;Parameters!$B$20),"YES","no - within noise")</f>
        <v>no - within noise</v>
      </c>
      <c r="V41" s="14" t="str">
        <f aca="false">IF(AND(T41="YES",R41&gt;Parameters!$B$17),"Watch - stockout",IF(AND(U41="YES",S41&gt;Parameters!$B$20),"Watch - excess capital","Routine"))</f>
        <v>Routine</v>
      </c>
    </row>
    <row r="42" customFormat="false" ht="15" hidden="false" customHeight="false" outlineLevel="0" collapsed="false">
      <c r="A42" s="10" t="s">
        <v>143</v>
      </c>
      <c r="B42" s="10" t="s">
        <v>126</v>
      </c>
      <c r="C42" s="10" t="s">
        <v>120</v>
      </c>
      <c r="D42" s="11" t="n">
        <v>102482</v>
      </c>
      <c r="E42" s="12" t="n">
        <v>140.19</v>
      </c>
      <c r="F42" s="12" t="n">
        <v>111.49</v>
      </c>
      <c r="G42" s="12" t="n">
        <v>272.03</v>
      </c>
      <c r="H42" s="12" t="n">
        <v>54.53</v>
      </c>
      <c r="I42" s="11" t="n">
        <v>141</v>
      </c>
      <c r="J42" s="11" t="n">
        <v>110</v>
      </c>
      <c r="K42" s="11" t="n">
        <v>7</v>
      </c>
      <c r="L42" s="11" t="n">
        <v>29</v>
      </c>
      <c r="M42" s="12" t="n">
        <v>179.8</v>
      </c>
      <c r="N42" s="12" t="n">
        <v>4.79</v>
      </c>
      <c r="O42" s="9" t="n">
        <f aca="false">IFERROR(D42/G42/(Parameters!$B$8/Parameters!$B$9),0)</f>
        <v>188.236413029403</v>
      </c>
      <c r="P42" s="9" t="n">
        <f aca="false">IFERROR(G42/E42,0)</f>
        <v>1.94043797703117</v>
      </c>
      <c r="Q42" s="13" t="n">
        <f aca="false">G42*H42</f>
        <v>14833.7959</v>
      </c>
      <c r="R42" s="15" t="n">
        <f aca="false">100*I42/Parameters!$B$8</f>
        <v>19.2886456908345</v>
      </c>
      <c r="S42" s="15" t="n">
        <f aca="false">100*J42/Parameters!$B$8</f>
        <v>15.0478796169631</v>
      </c>
      <c r="T42" s="14" t="str">
        <f aca="false">IF(OR(R42&lt;Parameters!$B$16,R42&gt;Parameters!$B$17),"YES","no - within noise")</f>
        <v>no - within noise</v>
      </c>
      <c r="U42" s="14" t="str">
        <f aca="false">IF(OR(S42&lt;Parameters!$B$19,S42&gt;Parameters!$B$20),"YES","no - within noise")</f>
        <v>no - within noise</v>
      </c>
      <c r="V42" s="14" t="str">
        <f aca="false">IF(AND(T42="YES",R42&gt;Parameters!$B$17),"Watch - stockout",IF(AND(U42="YES",S42&gt;Parameters!$B$20),"Watch - excess capital","Routine"))</f>
        <v>Routine</v>
      </c>
    </row>
    <row r="43" customFormat="false" ht="15" hidden="false" customHeight="false" outlineLevel="0" collapsed="false">
      <c r="A43" s="10" t="s">
        <v>144</v>
      </c>
      <c r="B43" s="10" t="s">
        <v>126</v>
      </c>
      <c r="C43" s="10" t="s">
        <v>122</v>
      </c>
      <c r="D43" s="11" t="n">
        <v>96365</v>
      </c>
      <c r="E43" s="12" t="n">
        <v>131.83</v>
      </c>
      <c r="F43" s="12" t="n">
        <v>107.43</v>
      </c>
      <c r="G43" s="12" t="n">
        <v>267.1</v>
      </c>
      <c r="H43" s="12" t="n">
        <v>54.8</v>
      </c>
      <c r="I43" s="11" t="n">
        <v>146</v>
      </c>
      <c r="J43" s="11" t="n">
        <v>165</v>
      </c>
      <c r="K43" s="11" t="n">
        <v>3</v>
      </c>
      <c r="L43" s="11" t="n">
        <v>29</v>
      </c>
      <c r="M43" s="12" t="n">
        <v>180.5</v>
      </c>
      <c r="N43" s="12" t="n">
        <v>4.42</v>
      </c>
      <c r="O43" s="9" t="n">
        <f aca="false">IFERROR(D43/G43/(Parameters!$B$8/Parameters!$B$9),0)</f>
        <v>180.267852615696</v>
      </c>
      <c r="P43" s="9" t="n">
        <f aca="false">IFERROR(G43/E43,0)</f>
        <v>2.02609421224304</v>
      </c>
      <c r="Q43" s="13" t="n">
        <f aca="false">G43*H43</f>
        <v>14637.08</v>
      </c>
      <c r="R43" s="15" t="n">
        <f aca="false">100*I43/Parameters!$B$8</f>
        <v>19.9726402188782</v>
      </c>
      <c r="S43" s="15" t="n">
        <f aca="false">100*J43/Parameters!$B$8</f>
        <v>22.5718194254446</v>
      </c>
      <c r="T43" s="14" t="str">
        <f aca="false">IF(OR(R43&lt;Parameters!$B$16,R43&gt;Parameters!$B$17),"YES","no - within noise")</f>
        <v>no - within noise</v>
      </c>
      <c r="U43" s="14" t="str">
        <f aca="false">IF(OR(S43&lt;Parameters!$B$19,S43&gt;Parameters!$B$20),"YES","no - within noise")</f>
        <v>no - within noise</v>
      </c>
      <c r="V43" s="14" t="str">
        <f aca="false">IF(AND(T43="YES",R43&gt;Parameters!$B$17),"Watch - stockout",IF(AND(U43="YES",S43&gt;Parameters!$B$20),"Watch - excess capital","Routine"))</f>
        <v>Routine</v>
      </c>
    </row>
    <row r="44" customFormat="false" ht="15" hidden="false" customHeight="false" outlineLevel="0" collapsed="false">
      <c r="A44" s="10" t="s">
        <v>145</v>
      </c>
      <c r="B44" s="10" t="s">
        <v>126</v>
      </c>
      <c r="C44" s="10" t="s">
        <v>124</v>
      </c>
      <c r="D44" s="11" t="n">
        <v>105343</v>
      </c>
      <c r="E44" s="12" t="n">
        <v>144.11</v>
      </c>
      <c r="F44" s="12" t="n">
        <v>113.54</v>
      </c>
      <c r="G44" s="12" t="n">
        <v>276.31</v>
      </c>
      <c r="H44" s="12" t="n">
        <v>58.05</v>
      </c>
      <c r="I44" s="11" t="n">
        <v>152</v>
      </c>
      <c r="J44" s="11" t="n">
        <v>125</v>
      </c>
      <c r="K44" s="11" t="n">
        <v>5</v>
      </c>
      <c r="L44" s="11" t="n">
        <v>34</v>
      </c>
      <c r="M44" s="12" t="n">
        <v>257.4</v>
      </c>
      <c r="N44" s="12" t="n">
        <v>4.79</v>
      </c>
      <c r="O44" s="9" t="n">
        <f aca="false">IFERROR(D44/G44/(Parameters!$B$8/Parameters!$B$9),0)</f>
        <v>190.494274482343</v>
      </c>
      <c r="P44" s="9" t="n">
        <f aca="false">IFERROR(G44/E44,0)</f>
        <v>1.91735479841788</v>
      </c>
      <c r="Q44" s="13" t="n">
        <f aca="false">G44*H44</f>
        <v>16039.7955</v>
      </c>
      <c r="R44" s="15" t="n">
        <f aca="false">100*I44/Parameters!$B$8</f>
        <v>20.7934336525308</v>
      </c>
      <c r="S44" s="15" t="n">
        <f aca="false">100*J44/Parameters!$B$8</f>
        <v>17.0998632010944</v>
      </c>
      <c r="T44" s="14" t="str">
        <f aca="false">IF(OR(R44&lt;Parameters!$B$16,R44&gt;Parameters!$B$17),"YES","no - within noise")</f>
        <v>no - within noise</v>
      </c>
      <c r="U44" s="14" t="str">
        <f aca="false">IF(OR(S44&lt;Parameters!$B$19,S44&gt;Parameters!$B$20),"YES","no - within noise")</f>
        <v>no - within noise</v>
      </c>
      <c r="V44" s="14" t="str">
        <f aca="false">IF(AND(T44="YES",R44&gt;Parameters!$B$17),"Watch - stockout",IF(AND(U44="YES",S44&gt;Parameters!$B$20),"Watch - excess capital","Routine"))</f>
        <v>Routine</v>
      </c>
    </row>
    <row r="45" customFormat="false" ht="15" hidden="false" customHeight="false" outlineLevel="0" collapsed="false">
      <c r="A45" s="10" t="s">
        <v>146</v>
      </c>
      <c r="B45" s="10" t="s">
        <v>147</v>
      </c>
      <c r="C45" s="10" t="s">
        <v>86</v>
      </c>
      <c r="D45" s="11" t="n">
        <v>94620</v>
      </c>
      <c r="E45" s="12" t="n">
        <v>129.44</v>
      </c>
      <c r="F45" s="12" t="n">
        <v>106.36</v>
      </c>
      <c r="G45" s="12" t="n">
        <v>274.68</v>
      </c>
      <c r="H45" s="12" t="n">
        <v>56.39</v>
      </c>
      <c r="I45" s="11" t="n">
        <v>127</v>
      </c>
      <c r="J45" s="11" t="n">
        <v>173</v>
      </c>
      <c r="K45" s="11" t="n">
        <v>0</v>
      </c>
      <c r="L45" s="11" t="n">
        <v>17</v>
      </c>
      <c r="M45" s="12" t="n">
        <v>108</v>
      </c>
      <c r="N45" s="12" t="n">
        <v>4.9</v>
      </c>
      <c r="O45" s="9" t="n">
        <f aca="false">IFERROR(D45/G45/(Parameters!$B$8/Parameters!$B$9),0)</f>
        <v>172.118975603896</v>
      </c>
      <c r="P45" s="9" t="n">
        <f aca="false">IFERROR(G45/E45,0)</f>
        <v>2.12206427688504</v>
      </c>
      <c r="Q45" s="13" t="n">
        <f aca="false">G45*H45</f>
        <v>15489.2052</v>
      </c>
      <c r="R45" s="15" t="n">
        <f aca="false">100*I45/Parameters!$B$8</f>
        <v>17.3734610123119</v>
      </c>
      <c r="S45" s="15" t="n">
        <f aca="false">100*J45/Parameters!$B$8</f>
        <v>23.6662106703146</v>
      </c>
      <c r="T45" s="14" t="str">
        <f aca="false">IF(OR(R45&lt;Parameters!$B$16,R45&gt;Parameters!$B$17),"YES","no - within noise")</f>
        <v>no - within noise</v>
      </c>
      <c r="U45" s="14" t="str">
        <f aca="false">IF(OR(S45&lt;Parameters!$B$19,S45&gt;Parameters!$B$20),"YES","no - within noise")</f>
        <v>YES</v>
      </c>
      <c r="V45" s="14" t="str">
        <f aca="false">IF(AND(T45="YES",R45&gt;Parameters!$B$17),"Watch - stockout",IF(AND(U45="YES",S45&gt;Parameters!$B$20),"Watch - excess capital","Routine"))</f>
        <v>Watch - excess capital</v>
      </c>
    </row>
    <row r="46" customFormat="false" ht="15" hidden="false" customHeight="false" outlineLevel="0" collapsed="false">
      <c r="A46" s="10" t="s">
        <v>148</v>
      </c>
      <c r="B46" s="10" t="s">
        <v>147</v>
      </c>
      <c r="C46" s="10" t="s">
        <v>88</v>
      </c>
      <c r="D46" s="11" t="n">
        <v>104350</v>
      </c>
      <c r="E46" s="12" t="n">
        <v>142.75</v>
      </c>
      <c r="F46" s="12" t="n">
        <v>111.97</v>
      </c>
      <c r="G46" s="12" t="n">
        <v>282.28</v>
      </c>
      <c r="H46" s="12" t="n">
        <v>53.95</v>
      </c>
      <c r="I46" s="11" t="n">
        <v>131</v>
      </c>
      <c r="J46" s="11" t="n">
        <v>131</v>
      </c>
      <c r="K46" s="11" t="n">
        <v>6</v>
      </c>
      <c r="L46" s="11" t="n">
        <v>24</v>
      </c>
      <c r="M46" s="12" t="n">
        <v>166.3</v>
      </c>
      <c r="N46" s="12" t="n">
        <v>4.95</v>
      </c>
      <c r="O46" s="9" t="n">
        <f aca="false">IFERROR(D46/G46/(Parameters!$B$8/Parameters!$B$9),0)</f>
        <v>184.707781583886</v>
      </c>
      <c r="P46" s="9" t="n">
        <f aca="false">IFERROR(G46/E46,0)</f>
        <v>1.97744308231173</v>
      </c>
      <c r="Q46" s="13" t="n">
        <f aca="false">G46*H46</f>
        <v>15229.006</v>
      </c>
      <c r="R46" s="15" t="n">
        <f aca="false">100*I46/Parameters!$B$8</f>
        <v>17.9206566347469</v>
      </c>
      <c r="S46" s="15" t="n">
        <f aca="false">100*J46/Parameters!$B$8</f>
        <v>17.9206566347469</v>
      </c>
      <c r="T46" s="14" t="str">
        <f aca="false">IF(OR(R46&lt;Parameters!$B$16,R46&gt;Parameters!$B$17),"YES","no - within noise")</f>
        <v>no - within noise</v>
      </c>
      <c r="U46" s="14" t="str">
        <f aca="false">IF(OR(S46&lt;Parameters!$B$19,S46&gt;Parameters!$B$20),"YES","no - within noise")</f>
        <v>no - within noise</v>
      </c>
      <c r="V46" s="14" t="str">
        <f aca="false">IF(AND(T46="YES",R46&gt;Parameters!$B$17),"Watch - stockout",IF(AND(U46="YES",S46&gt;Parameters!$B$20),"Watch - excess capital","Routine"))</f>
        <v>Routine</v>
      </c>
    </row>
    <row r="47" customFormat="false" ht="15" hidden="false" customHeight="false" outlineLevel="0" collapsed="false">
      <c r="A47" s="10" t="s">
        <v>149</v>
      </c>
      <c r="B47" s="10" t="s">
        <v>147</v>
      </c>
      <c r="C47" s="10" t="s">
        <v>90</v>
      </c>
      <c r="D47" s="11" t="n">
        <v>92556</v>
      </c>
      <c r="E47" s="12" t="n">
        <v>126.62</v>
      </c>
      <c r="F47" s="12" t="n">
        <v>102.91</v>
      </c>
      <c r="G47" s="12" t="n">
        <v>270.21</v>
      </c>
      <c r="H47" s="12" t="n">
        <v>55.2</v>
      </c>
      <c r="I47" s="11" t="n">
        <v>123</v>
      </c>
      <c r="J47" s="11" t="n">
        <v>176</v>
      </c>
      <c r="K47" s="11" t="n">
        <v>3</v>
      </c>
      <c r="L47" s="11" t="n">
        <v>26</v>
      </c>
      <c r="M47" s="12" t="n">
        <v>160.1</v>
      </c>
      <c r="N47" s="12" t="n">
        <v>5.09</v>
      </c>
      <c r="O47" s="9" t="n">
        <f aca="false">IFERROR(D47/G47/(Parameters!$B$8/Parameters!$B$9),0)</f>
        <v>171.149646945824</v>
      </c>
      <c r="P47" s="9" t="n">
        <f aca="false">IFERROR(G47/E47,0)</f>
        <v>2.13402306112778</v>
      </c>
      <c r="Q47" s="13" t="n">
        <f aca="false">G47*H47</f>
        <v>14915.592</v>
      </c>
      <c r="R47" s="15" t="n">
        <f aca="false">100*I47/Parameters!$B$8</f>
        <v>16.8262653898769</v>
      </c>
      <c r="S47" s="15" t="n">
        <f aca="false">100*J47/Parameters!$B$8</f>
        <v>24.0766073871409</v>
      </c>
      <c r="T47" s="14" t="str">
        <f aca="false">IF(OR(R47&lt;Parameters!$B$16,R47&gt;Parameters!$B$17),"YES","no - within noise")</f>
        <v>no - within noise</v>
      </c>
      <c r="U47" s="14" t="str">
        <f aca="false">IF(OR(S47&lt;Parameters!$B$19,S47&gt;Parameters!$B$20),"YES","no - within noise")</f>
        <v>YES</v>
      </c>
      <c r="V47" s="14" t="str">
        <f aca="false">IF(AND(T47="YES",R47&gt;Parameters!$B$17),"Watch - stockout",IF(AND(U47="YES",S47&gt;Parameters!$B$20),"Watch - excess capital","Routine"))</f>
        <v>Watch - excess capital</v>
      </c>
    </row>
    <row r="48" customFormat="false" ht="15" hidden="false" customHeight="false" outlineLevel="0" collapsed="false">
      <c r="A48" s="10" t="s">
        <v>150</v>
      </c>
      <c r="B48" s="10" t="s">
        <v>147</v>
      </c>
      <c r="C48" s="10" t="s">
        <v>92</v>
      </c>
      <c r="D48" s="11" t="n">
        <v>96660</v>
      </c>
      <c r="E48" s="12" t="n">
        <v>132.23</v>
      </c>
      <c r="F48" s="12" t="n">
        <v>104.89</v>
      </c>
      <c r="G48" s="12" t="n">
        <v>269.94</v>
      </c>
      <c r="H48" s="12" t="n">
        <v>55</v>
      </c>
      <c r="I48" s="11" t="n">
        <v>136</v>
      </c>
      <c r="J48" s="11" t="n">
        <v>154</v>
      </c>
      <c r="K48" s="11" t="n">
        <v>5</v>
      </c>
      <c r="L48" s="11" t="n">
        <v>36</v>
      </c>
      <c r="M48" s="12" t="n">
        <v>277.3</v>
      </c>
      <c r="N48" s="12" t="n">
        <v>5.33</v>
      </c>
      <c r="O48" s="9" t="n">
        <f aca="false">IFERROR(D48/G48/(Parameters!$B$8/Parameters!$B$9),0)</f>
        <v>178.917324384899</v>
      </c>
      <c r="P48" s="9" t="n">
        <f aca="false">IFERROR(G48/E48,0)</f>
        <v>2.04144294033124</v>
      </c>
      <c r="Q48" s="13" t="n">
        <f aca="false">G48*H48</f>
        <v>14846.7</v>
      </c>
      <c r="R48" s="15" t="n">
        <f aca="false">100*I48/Parameters!$B$8</f>
        <v>18.6046511627907</v>
      </c>
      <c r="S48" s="15" t="n">
        <f aca="false">100*J48/Parameters!$B$8</f>
        <v>21.0670314637483</v>
      </c>
      <c r="T48" s="14" t="str">
        <f aca="false">IF(OR(R48&lt;Parameters!$B$16,R48&gt;Parameters!$B$17),"YES","no - within noise")</f>
        <v>no - within noise</v>
      </c>
      <c r="U48" s="14" t="str">
        <f aca="false">IF(OR(S48&lt;Parameters!$B$19,S48&gt;Parameters!$B$20),"YES","no - within noise")</f>
        <v>no - within noise</v>
      </c>
      <c r="V48" s="14" t="str">
        <f aca="false">IF(AND(T48="YES",R48&gt;Parameters!$B$17),"Watch - stockout",IF(AND(U48="YES",S48&gt;Parameters!$B$20),"Watch - excess capital","Routine"))</f>
        <v>Routine</v>
      </c>
    </row>
    <row r="49" customFormat="false" ht="15" hidden="false" customHeight="false" outlineLevel="0" collapsed="false">
      <c r="A49" s="10" t="s">
        <v>151</v>
      </c>
      <c r="B49" s="10" t="s">
        <v>147</v>
      </c>
      <c r="C49" s="10" t="s">
        <v>94</v>
      </c>
      <c r="D49" s="11" t="n">
        <v>105408</v>
      </c>
      <c r="E49" s="12" t="n">
        <v>144.2</v>
      </c>
      <c r="F49" s="12" t="n">
        <v>109.34</v>
      </c>
      <c r="G49" s="12" t="n">
        <v>277.57</v>
      </c>
      <c r="H49" s="12" t="n">
        <v>53.97</v>
      </c>
      <c r="I49" s="11" t="n">
        <v>137</v>
      </c>
      <c r="J49" s="11" t="n">
        <v>105</v>
      </c>
      <c r="K49" s="11" t="n">
        <v>1</v>
      </c>
      <c r="L49" s="11" t="n">
        <v>21</v>
      </c>
      <c r="M49" s="12" t="n">
        <v>173.3</v>
      </c>
      <c r="N49" s="12" t="n">
        <v>4.76</v>
      </c>
      <c r="O49" s="9" t="n">
        <f aca="false">IFERROR(D49/G49/(Parameters!$B$8/Parameters!$B$9),0)</f>
        <v>189.74655313036</v>
      </c>
      <c r="P49" s="9" t="n">
        <f aca="false">IFERROR(G49/E49,0)</f>
        <v>1.9248959778086</v>
      </c>
      <c r="Q49" s="13" t="n">
        <f aca="false">G49*H49</f>
        <v>14980.4529</v>
      </c>
      <c r="R49" s="15" t="n">
        <f aca="false">100*I49/Parameters!$B$8</f>
        <v>18.7414500683995</v>
      </c>
      <c r="S49" s="15" t="n">
        <f aca="false">100*J49/Parameters!$B$8</f>
        <v>14.3638850889193</v>
      </c>
      <c r="T49" s="14" t="str">
        <f aca="false">IF(OR(R49&lt;Parameters!$B$16,R49&gt;Parameters!$B$17),"YES","no - within noise")</f>
        <v>no - within noise</v>
      </c>
      <c r="U49" s="14" t="str">
        <f aca="false">IF(OR(S49&lt;Parameters!$B$19,S49&gt;Parameters!$B$20),"YES","no - within noise")</f>
        <v>YES</v>
      </c>
      <c r="V49" s="14" t="str">
        <f aca="false">IF(AND(T49="YES",R49&gt;Parameters!$B$17),"Watch - stockout",IF(AND(U49="YES",S49&gt;Parameters!$B$20),"Watch - excess capital","Routine"))</f>
        <v>Routine</v>
      </c>
    </row>
    <row r="50" customFormat="false" ht="15" hidden="false" customHeight="false" outlineLevel="0" collapsed="false">
      <c r="A50" s="10" t="s">
        <v>152</v>
      </c>
      <c r="B50" s="10" t="s">
        <v>147</v>
      </c>
      <c r="C50" s="10" t="s">
        <v>96</v>
      </c>
      <c r="D50" s="11" t="n">
        <v>102173</v>
      </c>
      <c r="E50" s="12" t="n">
        <v>139.77</v>
      </c>
      <c r="F50" s="12" t="n">
        <v>114.1</v>
      </c>
      <c r="G50" s="12" t="n">
        <v>277.82</v>
      </c>
      <c r="H50" s="12" t="n">
        <v>56.66</v>
      </c>
      <c r="I50" s="11" t="n">
        <v>147</v>
      </c>
      <c r="J50" s="11" t="n">
        <v>133</v>
      </c>
      <c r="K50" s="11" t="n">
        <v>5</v>
      </c>
      <c r="L50" s="11" t="n">
        <v>26</v>
      </c>
      <c r="M50" s="12" t="n">
        <v>201</v>
      </c>
      <c r="N50" s="12" t="n">
        <v>4.9</v>
      </c>
      <c r="O50" s="9" t="n">
        <f aca="false">IFERROR(D50/G50/(Parameters!$B$8/Parameters!$B$9),0)</f>
        <v>183.75767444224</v>
      </c>
      <c r="P50" s="9" t="n">
        <f aca="false">IFERROR(G50/E50,0)</f>
        <v>1.98769406882736</v>
      </c>
      <c r="Q50" s="13" t="n">
        <f aca="false">G50*H50</f>
        <v>15741.2812</v>
      </c>
      <c r="R50" s="15" t="n">
        <f aca="false">100*I50/Parameters!$B$8</f>
        <v>20.109439124487</v>
      </c>
      <c r="S50" s="15" t="n">
        <f aca="false">100*J50/Parameters!$B$8</f>
        <v>18.1942544459644</v>
      </c>
      <c r="T50" s="14" t="str">
        <f aca="false">IF(OR(R50&lt;Parameters!$B$16,R50&gt;Parameters!$B$17),"YES","no - within noise")</f>
        <v>no - within noise</v>
      </c>
      <c r="U50" s="14" t="str">
        <f aca="false">IF(OR(S50&lt;Parameters!$B$19,S50&gt;Parameters!$B$20),"YES","no - within noise")</f>
        <v>no - within noise</v>
      </c>
      <c r="V50" s="14" t="str">
        <f aca="false">IF(AND(T50="YES",R50&gt;Parameters!$B$17),"Watch - stockout",IF(AND(U50="YES",S50&gt;Parameters!$B$20),"Watch - excess capital","Routine"))</f>
        <v>Routine</v>
      </c>
    </row>
    <row r="51" customFormat="false" ht="15" hidden="false" customHeight="false" outlineLevel="0" collapsed="false">
      <c r="A51" s="10" t="s">
        <v>153</v>
      </c>
      <c r="B51" s="10" t="s">
        <v>147</v>
      </c>
      <c r="C51" s="10" t="s">
        <v>98</v>
      </c>
      <c r="D51" s="11" t="n">
        <v>101464</v>
      </c>
      <c r="E51" s="12" t="n">
        <v>138.8</v>
      </c>
      <c r="F51" s="12" t="n">
        <v>110.79</v>
      </c>
      <c r="G51" s="12" t="n">
        <v>279.98</v>
      </c>
      <c r="H51" s="12" t="n">
        <v>57.2</v>
      </c>
      <c r="I51" s="11" t="n">
        <v>133</v>
      </c>
      <c r="J51" s="11" t="n">
        <v>134</v>
      </c>
      <c r="K51" s="11" t="n">
        <v>3</v>
      </c>
      <c r="L51" s="11" t="n">
        <v>29</v>
      </c>
      <c r="M51" s="12" t="n">
        <v>126.2</v>
      </c>
      <c r="N51" s="12" t="n">
        <v>4.97</v>
      </c>
      <c r="O51" s="9" t="n">
        <f aca="false">IFERROR(D51/G51/(Parameters!$B$8/Parameters!$B$9),0)</f>
        <v>181.074718157023</v>
      </c>
      <c r="P51" s="9" t="n">
        <f aca="false">IFERROR(G51/E51,0)</f>
        <v>2.0171469740634</v>
      </c>
      <c r="Q51" s="13" t="n">
        <f aca="false">G51*H51</f>
        <v>16014.856</v>
      </c>
      <c r="R51" s="15" t="n">
        <f aca="false">100*I51/Parameters!$B$8</f>
        <v>18.1942544459644</v>
      </c>
      <c r="S51" s="15" t="n">
        <f aca="false">100*J51/Parameters!$B$8</f>
        <v>18.3310533515732</v>
      </c>
      <c r="T51" s="14" t="str">
        <f aca="false">IF(OR(R51&lt;Parameters!$B$16,R51&gt;Parameters!$B$17),"YES","no - within noise")</f>
        <v>no - within noise</v>
      </c>
      <c r="U51" s="14" t="str">
        <f aca="false">IF(OR(S51&lt;Parameters!$B$19,S51&gt;Parameters!$B$20),"YES","no - within noise")</f>
        <v>no - within noise</v>
      </c>
      <c r="V51" s="14" t="str">
        <f aca="false">IF(AND(T51="YES",R51&gt;Parameters!$B$17),"Watch - stockout",IF(AND(U51="YES",S51&gt;Parameters!$B$20),"Watch - excess capital","Routine"))</f>
        <v>Routine</v>
      </c>
    </row>
    <row r="52" customFormat="false" ht="15" hidden="false" customHeight="false" outlineLevel="0" collapsed="false">
      <c r="A52" s="10" t="s">
        <v>154</v>
      </c>
      <c r="B52" s="10" t="s">
        <v>147</v>
      </c>
      <c r="C52" s="10" t="s">
        <v>100</v>
      </c>
      <c r="D52" s="11" t="n">
        <v>97864</v>
      </c>
      <c r="E52" s="12" t="n">
        <v>133.88</v>
      </c>
      <c r="F52" s="12" t="n">
        <v>109.76</v>
      </c>
      <c r="G52" s="12" t="n">
        <v>277.19</v>
      </c>
      <c r="H52" s="12" t="n">
        <v>54.34</v>
      </c>
      <c r="I52" s="11" t="n">
        <v>135</v>
      </c>
      <c r="J52" s="11" t="n">
        <v>155</v>
      </c>
      <c r="K52" s="11" t="n">
        <v>4</v>
      </c>
      <c r="L52" s="11" t="n">
        <v>25</v>
      </c>
      <c r="M52" s="12" t="n">
        <v>164.7</v>
      </c>
      <c r="N52" s="12" t="n">
        <v>5.57</v>
      </c>
      <c r="O52" s="9" t="n">
        <f aca="false">IFERROR(D52/G52/(Parameters!$B$8/Parameters!$B$9),0)</f>
        <v>176.407990114195</v>
      </c>
      <c r="P52" s="9" t="n">
        <f aca="false">IFERROR(G52/E52,0)</f>
        <v>2.07043621153272</v>
      </c>
      <c r="Q52" s="13" t="n">
        <f aca="false">G52*H52</f>
        <v>15062.5046</v>
      </c>
      <c r="R52" s="15" t="n">
        <f aca="false">100*I52/Parameters!$B$8</f>
        <v>18.4678522571819</v>
      </c>
      <c r="S52" s="15" t="n">
        <f aca="false">100*J52/Parameters!$B$8</f>
        <v>21.203830369357</v>
      </c>
      <c r="T52" s="14" t="str">
        <f aca="false">IF(OR(R52&lt;Parameters!$B$16,R52&gt;Parameters!$B$17),"YES","no - within noise")</f>
        <v>no - within noise</v>
      </c>
      <c r="U52" s="14" t="str">
        <f aca="false">IF(OR(S52&lt;Parameters!$B$19,S52&gt;Parameters!$B$20),"YES","no - within noise")</f>
        <v>no - within noise</v>
      </c>
      <c r="V52" s="14" t="str">
        <f aca="false">IF(AND(T52="YES",R52&gt;Parameters!$B$17),"Watch - stockout",IF(AND(U52="YES",S52&gt;Parameters!$B$20),"Watch - excess capital","Routine"))</f>
        <v>Routine</v>
      </c>
    </row>
    <row r="53" customFormat="false" ht="15" hidden="false" customHeight="false" outlineLevel="0" collapsed="false">
      <c r="A53" s="10" t="s">
        <v>155</v>
      </c>
      <c r="B53" s="10" t="s">
        <v>147</v>
      </c>
      <c r="C53" s="10" t="s">
        <v>102</v>
      </c>
      <c r="D53" s="11" t="n">
        <v>102682</v>
      </c>
      <c r="E53" s="12" t="n">
        <v>140.47</v>
      </c>
      <c r="F53" s="12" t="n">
        <v>112.71</v>
      </c>
      <c r="G53" s="12" t="n">
        <v>280.16</v>
      </c>
      <c r="H53" s="12" t="n">
        <v>53.95</v>
      </c>
      <c r="I53" s="11" t="n">
        <v>134</v>
      </c>
      <c r="J53" s="11" t="n">
        <v>122</v>
      </c>
      <c r="K53" s="11" t="n">
        <v>3</v>
      </c>
      <c r="L53" s="11" t="n">
        <v>28</v>
      </c>
      <c r="M53" s="12" t="n">
        <v>217</v>
      </c>
      <c r="N53" s="12" t="n">
        <v>5.06</v>
      </c>
      <c r="O53" s="9" t="n">
        <f aca="false">IFERROR(D53/G53/(Parameters!$B$8/Parameters!$B$9),0)</f>
        <v>183.130650474499</v>
      </c>
      <c r="P53" s="9" t="n">
        <f aca="false">IFERROR(G53/E53,0)</f>
        <v>1.99444721292803</v>
      </c>
      <c r="Q53" s="13" t="n">
        <f aca="false">G53*H53</f>
        <v>15114.632</v>
      </c>
      <c r="R53" s="15" t="n">
        <f aca="false">100*I53/Parameters!$B$8</f>
        <v>18.3310533515732</v>
      </c>
      <c r="S53" s="15" t="n">
        <f aca="false">100*J53/Parameters!$B$8</f>
        <v>16.6894664842681</v>
      </c>
      <c r="T53" s="14" t="str">
        <f aca="false">IF(OR(R53&lt;Parameters!$B$16,R53&gt;Parameters!$B$17),"YES","no - within noise")</f>
        <v>no - within noise</v>
      </c>
      <c r="U53" s="14" t="str">
        <f aca="false">IF(OR(S53&lt;Parameters!$B$19,S53&gt;Parameters!$B$20),"YES","no - within noise")</f>
        <v>no - within noise</v>
      </c>
      <c r="V53" s="14" t="str">
        <f aca="false">IF(AND(T53="YES",R53&gt;Parameters!$B$17),"Watch - stockout",IF(AND(U53="YES",S53&gt;Parameters!$B$20),"Watch - excess capital","Routine"))</f>
        <v>Routine</v>
      </c>
    </row>
    <row r="54" customFormat="false" ht="15" hidden="false" customHeight="false" outlineLevel="0" collapsed="false">
      <c r="A54" s="10" t="s">
        <v>156</v>
      </c>
      <c r="B54" s="10" t="s">
        <v>147</v>
      </c>
      <c r="C54" s="10" t="s">
        <v>104</v>
      </c>
      <c r="D54" s="11" t="n">
        <v>99422</v>
      </c>
      <c r="E54" s="12" t="n">
        <v>136.01</v>
      </c>
      <c r="F54" s="12" t="n">
        <v>109.32</v>
      </c>
      <c r="G54" s="12" t="n">
        <v>265.29</v>
      </c>
      <c r="H54" s="12" t="n">
        <v>54.59</v>
      </c>
      <c r="I54" s="11" t="n">
        <v>158</v>
      </c>
      <c r="J54" s="11" t="n">
        <v>141</v>
      </c>
      <c r="K54" s="11" t="n">
        <v>6</v>
      </c>
      <c r="L54" s="11" t="n">
        <v>30</v>
      </c>
      <c r="M54" s="12" t="n">
        <v>174.2</v>
      </c>
      <c r="N54" s="12" t="n">
        <v>4.89</v>
      </c>
      <c r="O54" s="9" t="n">
        <f aca="false">IFERROR(D54/G54/(Parameters!$B$8/Parameters!$B$9),0)</f>
        <v>187.255448558243</v>
      </c>
      <c r="P54" s="9" t="n">
        <f aca="false">IFERROR(G54/E54,0)</f>
        <v>1.95051834423939</v>
      </c>
      <c r="Q54" s="13" t="n">
        <f aca="false">G54*H54</f>
        <v>14482.1811</v>
      </c>
      <c r="R54" s="15" t="n">
        <f aca="false">100*I54/Parameters!$B$8</f>
        <v>21.6142270861833</v>
      </c>
      <c r="S54" s="15" t="n">
        <f aca="false">100*J54/Parameters!$B$8</f>
        <v>19.2886456908345</v>
      </c>
      <c r="T54" s="14" t="str">
        <f aca="false">IF(OR(R54&lt;Parameters!$B$16,R54&gt;Parameters!$B$17),"YES","no - within noise")</f>
        <v>no - within noise</v>
      </c>
      <c r="U54" s="14" t="str">
        <f aca="false">IF(OR(S54&lt;Parameters!$B$19,S54&gt;Parameters!$B$20),"YES","no - within noise")</f>
        <v>no - within noise</v>
      </c>
      <c r="V54" s="14" t="str">
        <f aca="false">IF(AND(T54="YES",R54&gt;Parameters!$B$17),"Watch - stockout",IF(AND(U54="YES",S54&gt;Parameters!$B$20),"Watch - excess capital","Routine"))</f>
        <v>Routine</v>
      </c>
    </row>
    <row r="55" customFormat="false" ht="15" hidden="false" customHeight="false" outlineLevel="0" collapsed="false">
      <c r="A55" s="10" t="s">
        <v>157</v>
      </c>
      <c r="B55" s="10" t="s">
        <v>147</v>
      </c>
      <c r="C55" s="10" t="s">
        <v>106</v>
      </c>
      <c r="D55" s="11" t="n">
        <v>101392</v>
      </c>
      <c r="E55" s="12" t="n">
        <v>138.7</v>
      </c>
      <c r="F55" s="12" t="n">
        <v>108.62</v>
      </c>
      <c r="G55" s="12" t="n">
        <v>274.63</v>
      </c>
      <c r="H55" s="12" t="n">
        <v>56.9</v>
      </c>
      <c r="I55" s="11" t="n">
        <v>136</v>
      </c>
      <c r="J55" s="11" t="n">
        <v>124</v>
      </c>
      <c r="K55" s="11" t="n">
        <v>3</v>
      </c>
      <c r="L55" s="11" t="n">
        <v>20</v>
      </c>
      <c r="M55" s="12" t="n">
        <v>160.8</v>
      </c>
      <c r="N55" s="12" t="n">
        <v>5.2</v>
      </c>
      <c r="O55" s="9" t="n">
        <f aca="false">IFERROR(D55/G55/(Parameters!$B$8/Parameters!$B$9),0)</f>
        <v>184.471194747137</v>
      </c>
      <c r="P55" s="9" t="n">
        <f aca="false">IFERROR(G55/E55,0)</f>
        <v>1.98002883922134</v>
      </c>
      <c r="Q55" s="13" t="n">
        <f aca="false">G55*H55</f>
        <v>15626.447</v>
      </c>
      <c r="R55" s="15" t="n">
        <f aca="false">100*I55/Parameters!$B$8</f>
        <v>18.6046511627907</v>
      </c>
      <c r="S55" s="15" t="n">
        <f aca="false">100*J55/Parameters!$B$8</f>
        <v>16.9630642954856</v>
      </c>
      <c r="T55" s="14" t="str">
        <f aca="false">IF(OR(R55&lt;Parameters!$B$16,R55&gt;Parameters!$B$17),"YES","no - within noise")</f>
        <v>no - within noise</v>
      </c>
      <c r="U55" s="14" t="str">
        <f aca="false">IF(OR(S55&lt;Parameters!$B$19,S55&gt;Parameters!$B$20),"YES","no - within noise")</f>
        <v>no - within noise</v>
      </c>
      <c r="V55" s="14" t="str">
        <f aca="false">IF(AND(T55="YES",R55&gt;Parameters!$B$17),"Watch - stockout",IF(AND(U55="YES",S55&gt;Parameters!$B$20),"Watch - excess capital","Routine"))</f>
        <v>Routine</v>
      </c>
    </row>
    <row r="56" customFormat="false" ht="15" hidden="false" customHeight="false" outlineLevel="0" collapsed="false">
      <c r="A56" s="10" t="s">
        <v>158</v>
      </c>
      <c r="B56" s="10" t="s">
        <v>147</v>
      </c>
      <c r="C56" s="10" t="s">
        <v>108</v>
      </c>
      <c r="D56" s="11" t="n">
        <v>100529</v>
      </c>
      <c r="E56" s="12" t="n">
        <v>137.52</v>
      </c>
      <c r="F56" s="12" t="n">
        <v>111.91</v>
      </c>
      <c r="G56" s="12" t="n">
        <v>276.77</v>
      </c>
      <c r="H56" s="12" t="n">
        <v>53.84</v>
      </c>
      <c r="I56" s="11" t="n">
        <v>136</v>
      </c>
      <c r="J56" s="11" t="n">
        <v>128</v>
      </c>
      <c r="K56" s="11" t="n">
        <v>2</v>
      </c>
      <c r="L56" s="11" t="n">
        <v>15</v>
      </c>
      <c r="M56" s="12" t="n">
        <v>75.3</v>
      </c>
      <c r="N56" s="12" t="n">
        <v>4.47</v>
      </c>
      <c r="O56" s="9" t="n">
        <f aca="false">IFERROR(D56/G56/(Parameters!$B$8/Parameters!$B$9),0)</f>
        <v>181.486864028056</v>
      </c>
      <c r="P56" s="9" t="n">
        <f aca="false">IFERROR(G56/E56,0)</f>
        <v>2.01257998836533</v>
      </c>
      <c r="Q56" s="13" t="n">
        <f aca="false">G56*H56</f>
        <v>14901.2968</v>
      </c>
      <c r="R56" s="15" t="n">
        <f aca="false">100*I56/Parameters!$B$8</f>
        <v>18.6046511627907</v>
      </c>
      <c r="S56" s="15" t="n">
        <f aca="false">100*J56/Parameters!$B$8</f>
        <v>17.5102599179207</v>
      </c>
      <c r="T56" s="14" t="str">
        <f aca="false">IF(OR(R56&lt;Parameters!$B$16,R56&gt;Parameters!$B$17),"YES","no - within noise")</f>
        <v>no - within noise</v>
      </c>
      <c r="U56" s="14" t="str">
        <f aca="false">IF(OR(S56&lt;Parameters!$B$19,S56&gt;Parameters!$B$20),"YES","no - within noise")</f>
        <v>no - within noise</v>
      </c>
      <c r="V56" s="14" t="str">
        <f aca="false">IF(AND(T56="YES",R56&gt;Parameters!$B$17),"Watch - stockout",IF(AND(U56="YES",S56&gt;Parameters!$B$20),"Watch - excess capital","Routine"))</f>
        <v>Routine</v>
      </c>
    </row>
    <row r="57" customFormat="false" ht="15" hidden="false" customHeight="false" outlineLevel="0" collapsed="false">
      <c r="A57" s="10" t="s">
        <v>159</v>
      </c>
      <c r="B57" s="10" t="s">
        <v>147</v>
      </c>
      <c r="C57" s="10" t="s">
        <v>110</v>
      </c>
      <c r="D57" s="11" t="n">
        <v>107479</v>
      </c>
      <c r="E57" s="12" t="n">
        <v>147.03</v>
      </c>
      <c r="F57" s="12" t="n">
        <v>112.6</v>
      </c>
      <c r="G57" s="12" t="n">
        <v>285.26</v>
      </c>
      <c r="H57" s="12" t="n">
        <v>56.08</v>
      </c>
      <c r="I57" s="11" t="n">
        <v>132</v>
      </c>
      <c r="J57" s="11" t="n">
        <v>108</v>
      </c>
      <c r="K57" s="11" t="n">
        <v>2</v>
      </c>
      <c r="L57" s="11" t="n">
        <v>20</v>
      </c>
      <c r="M57" s="12" t="n">
        <v>151.8</v>
      </c>
      <c r="N57" s="12" t="n">
        <v>4.59</v>
      </c>
      <c r="O57" s="9" t="n">
        <f aca="false">IFERROR(D57/G57/(Parameters!$B$8/Parameters!$B$9),0)</f>
        <v>188.258930365492</v>
      </c>
      <c r="P57" s="9" t="n">
        <f aca="false">IFERROR(G57/E57,0)</f>
        <v>1.94014826906074</v>
      </c>
      <c r="Q57" s="13" t="n">
        <f aca="false">G57*H57</f>
        <v>15997.3808</v>
      </c>
      <c r="R57" s="15" t="n">
        <f aca="false">100*I57/Parameters!$B$8</f>
        <v>18.0574555403557</v>
      </c>
      <c r="S57" s="15" t="n">
        <f aca="false">100*J57/Parameters!$B$8</f>
        <v>14.7742818057456</v>
      </c>
      <c r="T57" s="14" t="str">
        <f aca="false">IF(OR(R57&lt;Parameters!$B$16,R57&gt;Parameters!$B$17),"YES","no - within noise")</f>
        <v>no - within noise</v>
      </c>
      <c r="U57" s="14" t="str">
        <f aca="false">IF(OR(S57&lt;Parameters!$B$19,S57&gt;Parameters!$B$20),"YES","no - within noise")</f>
        <v>YES</v>
      </c>
      <c r="V57" s="14" t="str">
        <f aca="false">IF(AND(T57="YES",R57&gt;Parameters!$B$17),"Watch - stockout",IF(AND(U57="YES",S57&gt;Parameters!$B$20),"Watch - excess capital","Routine"))</f>
        <v>Routine</v>
      </c>
    </row>
    <row r="58" customFormat="false" ht="15" hidden="false" customHeight="false" outlineLevel="0" collapsed="false">
      <c r="A58" s="10" t="s">
        <v>160</v>
      </c>
      <c r="B58" s="10" t="s">
        <v>147</v>
      </c>
      <c r="C58" s="10" t="s">
        <v>112</v>
      </c>
      <c r="D58" s="11" t="n">
        <v>105188</v>
      </c>
      <c r="E58" s="12" t="n">
        <v>143.9</v>
      </c>
      <c r="F58" s="12" t="n">
        <v>113.02</v>
      </c>
      <c r="G58" s="12" t="n">
        <v>290.87</v>
      </c>
      <c r="H58" s="12" t="n">
        <v>55.81</v>
      </c>
      <c r="I58" s="11" t="n">
        <v>119</v>
      </c>
      <c r="J58" s="11" t="n">
        <v>134</v>
      </c>
      <c r="K58" s="11" t="n">
        <v>3</v>
      </c>
      <c r="L58" s="11" t="n">
        <v>26</v>
      </c>
      <c r="M58" s="12" t="n">
        <v>163.4</v>
      </c>
      <c r="N58" s="12" t="n">
        <v>4.9</v>
      </c>
      <c r="O58" s="9" t="n">
        <f aca="false">IFERROR(D58/G58/(Parameters!$B$8/Parameters!$B$9),0)</f>
        <v>180.692494900788</v>
      </c>
      <c r="P58" s="9" t="n">
        <f aca="false">IFERROR(G58/E58,0)</f>
        <v>2.02133425990271</v>
      </c>
      <c r="Q58" s="13" t="n">
        <f aca="false">G58*H58</f>
        <v>16233.4547</v>
      </c>
      <c r="R58" s="15" t="n">
        <f aca="false">100*I58/Parameters!$B$8</f>
        <v>16.2790697674419</v>
      </c>
      <c r="S58" s="15" t="n">
        <f aca="false">100*J58/Parameters!$B$8</f>
        <v>18.3310533515732</v>
      </c>
      <c r="T58" s="14" t="str">
        <f aca="false">IF(OR(R58&lt;Parameters!$B$16,R58&gt;Parameters!$B$17),"YES","no - within noise")</f>
        <v>no - within noise</v>
      </c>
      <c r="U58" s="14" t="str">
        <f aca="false">IF(OR(S58&lt;Parameters!$B$19,S58&gt;Parameters!$B$20),"YES","no - within noise")</f>
        <v>no - within noise</v>
      </c>
      <c r="V58" s="14" t="str">
        <f aca="false">IF(AND(T58="YES",R58&gt;Parameters!$B$17),"Watch - stockout",IF(AND(U58="YES",S58&gt;Parameters!$B$20),"Watch - excess capital","Routine"))</f>
        <v>Routine</v>
      </c>
    </row>
    <row r="59" customFormat="false" ht="15" hidden="false" customHeight="false" outlineLevel="0" collapsed="false">
      <c r="A59" s="10" t="s">
        <v>161</v>
      </c>
      <c r="B59" s="10" t="s">
        <v>147</v>
      </c>
      <c r="C59" s="10" t="s">
        <v>114</v>
      </c>
      <c r="D59" s="11" t="n">
        <v>101119</v>
      </c>
      <c r="E59" s="12" t="n">
        <v>138.33</v>
      </c>
      <c r="F59" s="12" t="n">
        <v>108.01</v>
      </c>
      <c r="G59" s="12" t="n">
        <v>279.27</v>
      </c>
      <c r="H59" s="12" t="n">
        <v>53.87</v>
      </c>
      <c r="I59" s="11" t="n">
        <v>136</v>
      </c>
      <c r="J59" s="11" t="n">
        <v>144</v>
      </c>
      <c r="K59" s="11" t="n">
        <v>4</v>
      </c>
      <c r="L59" s="11" t="n">
        <v>21</v>
      </c>
      <c r="M59" s="12" t="n">
        <v>180.1</v>
      </c>
      <c r="N59" s="12" t="n">
        <v>4.59</v>
      </c>
      <c r="O59" s="9" t="n">
        <f aca="false">IFERROR(D59/G59/(Parameters!$B$8/Parameters!$B$9),0)</f>
        <v>180.917812792851</v>
      </c>
      <c r="P59" s="9" t="n">
        <f aca="false">IFERROR(G59/E59,0)</f>
        <v>2.0188679245283</v>
      </c>
      <c r="Q59" s="13" t="n">
        <f aca="false">G59*H59</f>
        <v>15044.2749</v>
      </c>
      <c r="R59" s="15" t="n">
        <f aca="false">100*I59/Parameters!$B$8</f>
        <v>18.6046511627907</v>
      </c>
      <c r="S59" s="15" t="n">
        <f aca="false">100*J59/Parameters!$B$8</f>
        <v>19.6990424076607</v>
      </c>
      <c r="T59" s="14" t="str">
        <f aca="false">IF(OR(R59&lt;Parameters!$B$16,R59&gt;Parameters!$B$17),"YES","no - within noise")</f>
        <v>no - within noise</v>
      </c>
      <c r="U59" s="14" t="str">
        <f aca="false">IF(OR(S59&lt;Parameters!$B$19,S59&gt;Parameters!$B$20),"YES","no - within noise")</f>
        <v>no - within noise</v>
      </c>
      <c r="V59" s="14" t="str">
        <f aca="false">IF(AND(T59="YES",R59&gt;Parameters!$B$17),"Watch - stockout",IF(AND(U59="YES",S59&gt;Parameters!$B$20),"Watch - excess capital","Routine"))</f>
        <v>Routine</v>
      </c>
    </row>
    <row r="60" customFormat="false" ht="15" hidden="false" customHeight="false" outlineLevel="0" collapsed="false">
      <c r="A60" s="10" t="s">
        <v>162</v>
      </c>
      <c r="B60" s="10" t="s">
        <v>147</v>
      </c>
      <c r="C60" s="10" t="s">
        <v>116</v>
      </c>
      <c r="D60" s="11" t="n">
        <v>103641</v>
      </c>
      <c r="E60" s="12" t="n">
        <v>141.78</v>
      </c>
      <c r="F60" s="12" t="n">
        <v>111.65</v>
      </c>
      <c r="G60" s="12" t="n">
        <v>277.99</v>
      </c>
      <c r="H60" s="12" t="n">
        <v>54.09</v>
      </c>
      <c r="I60" s="11" t="n">
        <v>131</v>
      </c>
      <c r="J60" s="11" t="n">
        <v>115</v>
      </c>
      <c r="K60" s="11" t="n">
        <v>4</v>
      </c>
      <c r="L60" s="11" t="n">
        <v>33</v>
      </c>
      <c r="M60" s="12" t="n">
        <v>183.7</v>
      </c>
      <c r="N60" s="12" t="n">
        <v>4.53</v>
      </c>
      <c r="O60" s="9" t="n">
        <f aca="false">IFERROR(D60/G60/(Parameters!$B$8/Parameters!$B$9),0)</f>
        <v>186.283877339327</v>
      </c>
      <c r="P60" s="9" t="n">
        <f aca="false">IFERROR(G60/E60,0)</f>
        <v>1.96071378191564</v>
      </c>
      <c r="Q60" s="13" t="n">
        <f aca="false">G60*H60</f>
        <v>15036.4791</v>
      </c>
      <c r="R60" s="15" t="n">
        <f aca="false">100*I60/Parameters!$B$8</f>
        <v>17.9206566347469</v>
      </c>
      <c r="S60" s="15" t="n">
        <f aca="false">100*J60/Parameters!$B$8</f>
        <v>15.7318741450068</v>
      </c>
      <c r="T60" s="14" t="str">
        <f aca="false">IF(OR(R60&lt;Parameters!$B$16,R60&gt;Parameters!$B$17),"YES","no - within noise")</f>
        <v>no - within noise</v>
      </c>
      <c r="U60" s="14" t="str">
        <f aca="false">IF(OR(S60&lt;Parameters!$B$19,S60&gt;Parameters!$B$20),"YES","no - within noise")</f>
        <v>no - within noise</v>
      </c>
      <c r="V60" s="14" t="str">
        <f aca="false">IF(AND(T60="YES",R60&gt;Parameters!$B$17),"Watch - stockout",IF(AND(U60="YES",S60&gt;Parameters!$B$20),"Watch - excess capital","Routine"))</f>
        <v>Routine</v>
      </c>
    </row>
    <row r="61" customFormat="false" ht="15" hidden="false" customHeight="false" outlineLevel="0" collapsed="false">
      <c r="A61" s="10" t="s">
        <v>163</v>
      </c>
      <c r="B61" s="10" t="s">
        <v>147</v>
      </c>
      <c r="C61" s="10" t="s">
        <v>118</v>
      </c>
      <c r="D61" s="11" t="n">
        <v>104566</v>
      </c>
      <c r="E61" s="12" t="n">
        <v>143.05</v>
      </c>
      <c r="F61" s="12" t="n">
        <v>107.78</v>
      </c>
      <c r="G61" s="12" t="n">
        <v>277.15</v>
      </c>
      <c r="H61" s="12" t="n">
        <v>54.22</v>
      </c>
      <c r="I61" s="11" t="n">
        <v>139</v>
      </c>
      <c r="J61" s="11" t="n">
        <v>110</v>
      </c>
      <c r="K61" s="11" t="n">
        <v>2</v>
      </c>
      <c r="L61" s="11" t="n">
        <v>26</v>
      </c>
      <c r="M61" s="12" t="n">
        <v>148.2</v>
      </c>
      <c r="N61" s="12" t="n">
        <v>5.29</v>
      </c>
      <c r="O61" s="9" t="n">
        <f aca="false">IFERROR(D61/G61/(Parameters!$B$8/Parameters!$B$9),0)</f>
        <v>188.516105769765</v>
      </c>
      <c r="P61" s="9" t="n">
        <f aca="false">IFERROR(G61/E61,0)</f>
        <v>1.93743446347431</v>
      </c>
      <c r="Q61" s="13" t="n">
        <f aca="false">G61*H61</f>
        <v>15027.073</v>
      </c>
      <c r="R61" s="15" t="n">
        <f aca="false">100*I61/Parameters!$B$8</f>
        <v>19.015047879617</v>
      </c>
      <c r="S61" s="15" t="n">
        <f aca="false">100*J61/Parameters!$B$8</f>
        <v>15.0478796169631</v>
      </c>
      <c r="T61" s="14" t="str">
        <f aca="false">IF(OR(R61&lt;Parameters!$B$16,R61&gt;Parameters!$B$17),"YES","no - within noise")</f>
        <v>no - within noise</v>
      </c>
      <c r="U61" s="14" t="str">
        <f aca="false">IF(OR(S61&lt;Parameters!$B$19,S61&gt;Parameters!$B$20),"YES","no - within noise")</f>
        <v>no - within noise</v>
      </c>
      <c r="V61" s="14" t="str">
        <f aca="false">IF(AND(T61="YES",R61&gt;Parameters!$B$17),"Watch - stockout",IF(AND(U61="YES",S61&gt;Parameters!$B$20),"Watch - excess capital","Routine"))</f>
        <v>Routine</v>
      </c>
    </row>
    <row r="62" customFormat="false" ht="15" hidden="false" customHeight="false" outlineLevel="0" collapsed="false">
      <c r="A62" s="10" t="s">
        <v>164</v>
      </c>
      <c r="B62" s="10" t="s">
        <v>147</v>
      </c>
      <c r="C62" s="10" t="s">
        <v>120</v>
      </c>
      <c r="D62" s="11" t="n">
        <v>96507</v>
      </c>
      <c r="E62" s="12" t="n">
        <v>132.02</v>
      </c>
      <c r="F62" s="12" t="n">
        <v>108.3</v>
      </c>
      <c r="G62" s="12" t="n">
        <v>269.78</v>
      </c>
      <c r="H62" s="12" t="n">
        <v>55.08</v>
      </c>
      <c r="I62" s="11" t="n">
        <v>140</v>
      </c>
      <c r="J62" s="11" t="n">
        <v>159</v>
      </c>
      <c r="K62" s="11" t="n">
        <v>3</v>
      </c>
      <c r="L62" s="11" t="n">
        <v>28</v>
      </c>
      <c r="M62" s="12" t="n">
        <v>172.2</v>
      </c>
      <c r="N62" s="12" t="n">
        <v>5.07</v>
      </c>
      <c r="O62" s="9" t="n">
        <f aca="false">IFERROR(D62/G62/(Parameters!$B$8/Parameters!$B$9),0)</f>
        <v>178.740065497965</v>
      </c>
      <c r="P62" s="9" t="n">
        <f aca="false">IFERROR(G62/E62,0)</f>
        <v>2.04347826086957</v>
      </c>
      <c r="Q62" s="13" t="n">
        <f aca="false">G62*H62</f>
        <v>14859.4824</v>
      </c>
      <c r="R62" s="15" t="n">
        <f aca="false">100*I62/Parameters!$B$8</f>
        <v>19.1518467852257</v>
      </c>
      <c r="S62" s="15" t="n">
        <f aca="false">100*J62/Parameters!$B$8</f>
        <v>21.7510259917921</v>
      </c>
      <c r="T62" s="14" t="str">
        <f aca="false">IF(OR(R62&lt;Parameters!$B$16,R62&gt;Parameters!$B$17),"YES","no - within noise")</f>
        <v>no - within noise</v>
      </c>
      <c r="U62" s="14" t="str">
        <f aca="false">IF(OR(S62&lt;Parameters!$B$19,S62&gt;Parameters!$B$20),"YES","no - within noise")</f>
        <v>no - within noise</v>
      </c>
      <c r="V62" s="14" t="str">
        <f aca="false">IF(AND(T62="YES",R62&gt;Parameters!$B$17),"Watch - stockout",IF(AND(U62="YES",S62&gt;Parameters!$B$20),"Watch - excess capital","Routine"))</f>
        <v>Routine</v>
      </c>
    </row>
    <row r="63" customFormat="false" ht="15" hidden="false" customHeight="false" outlineLevel="0" collapsed="false">
      <c r="A63" s="10" t="s">
        <v>165</v>
      </c>
      <c r="B63" s="10" t="s">
        <v>147</v>
      </c>
      <c r="C63" s="10" t="s">
        <v>122</v>
      </c>
      <c r="D63" s="11" t="n">
        <v>104524</v>
      </c>
      <c r="E63" s="12" t="n">
        <v>142.99</v>
      </c>
      <c r="F63" s="12" t="n">
        <v>111.2</v>
      </c>
      <c r="G63" s="12" t="n">
        <v>277.97</v>
      </c>
      <c r="H63" s="12" t="n">
        <v>54.63</v>
      </c>
      <c r="I63" s="11" t="n">
        <v>138</v>
      </c>
      <c r="J63" s="11" t="n">
        <v>111</v>
      </c>
      <c r="K63" s="11" t="n">
        <v>7</v>
      </c>
      <c r="L63" s="11" t="n">
        <v>31</v>
      </c>
      <c r="M63" s="12" t="n">
        <v>232.6</v>
      </c>
      <c r="N63" s="12" t="n">
        <v>5.68</v>
      </c>
      <c r="O63" s="9" t="n">
        <f aca="false">IFERROR(D63/G63/(Parameters!$B$8/Parameters!$B$9),0)</f>
        <v>187.884495010164</v>
      </c>
      <c r="P63" s="9" t="n">
        <f aca="false">IFERROR(G63/E63,0)</f>
        <v>1.94398209665012</v>
      </c>
      <c r="Q63" s="13" t="n">
        <f aca="false">G63*H63</f>
        <v>15185.5011</v>
      </c>
      <c r="R63" s="15" t="n">
        <f aca="false">100*I63/Parameters!$B$8</f>
        <v>18.8782489740082</v>
      </c>
      <c r="S63" s="15" t="n">
        <f aca="false">100*J63/Parameters!$B$8</f>
        <v>15.1846785225718</v>
      </c>
      <c r="T63" s="14" t="str">
        <f aca="false">IF(OR(R63&lt;Parameters!$B$16,R63&gt;Parameters!$B$17),"YES","no - within noise")</f>
        <v>no - within noise</v>
      </c>
      <c r="U63" s="14" t="str">
        <f aca="false">IF(OR(S63&lt;Parameters!$B$19,S63&gt;Parameters!$B$20),"YES","no - within noise")</f>
        <v>no - within noise</v>
      </c>
      <c r="V63" s="14" t="str">
        <f aca="false">IF(AND(T63="YES",R63&gt;Parameters!$B$17),"Watch - stockout",IF(AND(U63="YES",S63&gt;Parameters!$B$20),"Watch - excess capital","Routine"))</f>
        <v>Routine</v>
      </c>
    </row>
    <row r="64" customFormat="false" ht="15" hidden="false" customHeight="false" outlineLevel="0" collapsed="false">
      <c r="A64" s="10" t="s">
        <v>166</v>
      </c>
      <c r="B64" s="10" t="s">
        <v>147</v>
      </c>
      <c r="C64" s="10" t="s">
        <v>124</v>
      </c>
      <c r="D64" s="11" t="n">
        <v>100552</v>
      </c>
      <c r="E64" s="12" t="n">
        <v>137.55</v>
      </c>
      <c r="F64" s="12" t="n">
        <v>108.51</v>
      </c>
      <c r="G64" s="12" t="n">
        <v>272.65</v>
      </c>
      <c r="H64" s="12" t="n">
        <v>55.83</v>
      </c>
      <c r="I64" s="11" t="n">
        <v>128</v>
      </c>
      <c r="J64" s="11" t="n">
        <v>126</v>
      </c>
      <c r="K64" s="11" t="n">
        <v>0</v>
      </c>
      <c r="L64" s="11" t="n">
        <v>24</v>
      </c>
      <c r="M64" s="12" t="n">
        <v>155.4</v>
      </c>
      <c r="N64" s="12" t="n">
        <v>4.91</v>
      </c>
      <c r="O64" s="9" t="n">
        <f aca="false">IFERROR(D64/G64/(Parameters!$B$8/Parameters!$B$9),0)</f>
        <v>184.271452378904</v>
      </c>
      <c r="P64" s="9" t="n">
        <f aca="false">IFERROR(G64/E64,0)</f>
        <v>1.98218829516539</v>
      </c>
      <c r="Q64" s="13" t="n">
        <f aca="false">G64*H64</f>
        <v>15222.0495</v>
      </c>
      <c r="R64" s="15" t="n">
        <f aca="false">100*I64/Parameters!$B$8</f>
        <v>17.5102599179207</v>
      </c>
      <c r="S64" s="15" t="n">
        <f aca="false">100*J64/Parameters!$B$8</f>
        <v>17.2366621067031</v>
      </c>
      <c r="T64" s="14" t="str">
        <f aca="false">IF(OR(R64&lt;Parameters!$B$16,R64&gt;Parameters!$B$17),"YES","no - within noise")</f>
        <v>no - within noise</v>
      </c>
      <c r="U64" s="14" t="str">
        <f aca="false">IF(OR(S64&lt;Parameters!$B$19,S64&gt;Parameters!$B$20),"YES","no - within noise")</f>
        <v>no - within noise</v>
      </c>
      <c r="V64" s="14" t="str">
        <f aca="false">IF(AND(T64="YES",R64&gt;Parameters!$B$17),"Watch - stockout",IF(AND(U64="YES",S64&gt;Parameters!$B$20),"Watch - excess capital","Routine"))</f>
        <v>Routine</v>
      </c>
    </row>
    <row r="65" customFormat="false" ht="15" hidden="false" customHeight="false" outlineLevel="0" collapsed="false">
      <c r="A65" s="10" t="s">
        <v>167</v>
      </c>
      <c r="B65" s="10" t="s">
        <v>168</v>
      </c>
      <c r="C65" s="10" t="s">
        <v>86</v>
      </c>
      <c r="D65" s="11" t="n">
        <v>101270</v>
      </c>
      <c r="E65" s="12" t="n">
        <v>138.54</v>
      </c>
      <c r="F65" s="12" t="n">
        <v>110.97</v>
      </c>
      <c r="G65" s="12" t="n">
        <v>270.79</v>
      </c>
      <c r="H65" s="12" t="n">
        <v>56.08</v>
      </c>
      <c r="I65" s="11" t="n">
        <v>140</v>
      </c>
      <c r="J65" s="11" t="n">
        <v>141</v>
      </c>
      <c r="K65" s="11" t="n">
        <v>4</v>
      </c>
      <c r="L65" s="11" t="n">
        <v>30</v>
      </c>
      <c r="M65" s="12" t="n">
        <v>200.6</v>
      </c>
      <c r="N65" s="12" t="n">
        <v>5.26</v>
      </c>
      <c r="O65" s="9" t="n">
        <f aca="false">IFERROR(D65/G65/(Parameters!$B$8/Parameters!$B$9),0)</f>
        <v>186.862018305966</v>
      </c>
      <c r="P65" s="9" t="n">
        <f aca="false">IFERROR(G65/E65,0)</f>
        <v>1.95459795005053</v>
      </c>
      <c r="Q65" s="13" t="n">
        <f aca="false">G65*H65</f>
        <v>15185.9032</v>
      </c>
      <c r="R65" s="15" t="n">
        <f aca="false">100*I65/Parameters!$B$8</f>
        <v>19.1518467852257</v>
      </c>
      <c r="S65" s="15" t="n">
        <f aca="false">100*J65/Parameters!$B$8</f>
        <v>19.2886456908345</v>
      </c>
      <c r="T65" s="14" t="str">
        <f aca="false">IF(OR(R65&lt;Parameters!$B$16,R65&gt;Parameters!$B$17),"YES","no - within noise")</f>
        <v>no - within noise</v>
      </c>
      <c r="U65" s="14" t="str">
        <f aca="false">IF(OR(S65&lt;Parameters!$B$19,S65&gt;Parameters!$B$20),"YES","no - within noise")</f>
        <v>no - within noise</v>
      </c>
      <c r="V65" s="14" t="str">
        <f aca="false">IF(AND(T65="YES",R65&gt;Parameters!$B$17),"Watch - stockout",IF(AND(U65="YES",S65&gt;Parameters!$B$20),"Watch - excess capital","Routine"))</f>
        <v>Routine</v>
      </c>
    </row>
    <row r="66" customFormat="false" ht="15" hidden="false" customHeight="false" outlineLevel="0" collapsed="false">
      <c r="A66" s="10" t="s">
        <v>169</v>
      </c>
      <c r="B66" s="10" t="s">
        <v>168</v>
      </c>
      <c r="C66" s="10" t="s">
        <v>88</v>
      </c>
      <c r="D66" s="11" t="n">
        <v>95358</v>
      </c>
      <c r="E66" s="12" t="n">
        <v>130.45</v>
      </c>
      <c r="F66" s="12" t="n">
        <v>103.44</v>
      </c>
      <c r="G66" s="12" t="n">
        <v>269.37</v>
      </c>
      <c r="H66" s="12" t="n">
        <v>56.3</v>
      </c>
      <c r="I66" s="11" t="n">
        <v>128</v>
      </c>
      <c r="J66" s="11" t="n">
        <v>158</v>
      </c>
      <c r="K66" s="11" t="n">
        <v>4</v>
      </c>
      <c r="L66" s="11" t="n">
        <v>28</v>
      </c>
      <c r="M66" s="12" t="n">
        <v>181.2</v>
      </c>
      <c r="N66" s="12" t="n">
        <v>5.18</v>
      </c>
      <c r="O66" s="9" t="n">
        <f aca="false">IFERROR(D66/G66/(Parameters!$B$8/Parameters!$B$9),0)</f>
        <v>176.880824980129</v>
      </c>
      <c r="P66" s="9" t="n">
        <f aca="false">IFERROR(G66/E66,0)</f>
        <v>2.06492909160598</v>
      </c>
      <c r="Q66" s="13" t="n">
        <f aca="false">G66*H66</f>
        <v>15165.531</v>
      </c>
      <c r="R66" s="15" t="n">
        <f aca="false">100*I66/Parameters!$B$8</f>
        <v>17.5102599179207</v>
      </c>
      <c r="S66" s="15" t="n">
        <f aca="false">100*J66/Parameters!$B$8</f>
        <v>21.6142270861833</v>
      </c>
      <c r="T66" s="14" t="str">
        <f aca="false">IF(OR(R66&lt;Parameters!$B$16,R66&gt;Parameters!$B$17),"YES","no - within noise")</f>
        <v>no - within noise</v>
      </c>
      <c r="U66" s="14" t="str">
        <f aca="false">IF(OR(S66&lt;Parameters!$B$19,S66&gt;Parameters!$B$20),"YES","no - within noise")</f>
        <v>no - within noise</v>
      </c>
      <c r="V66" s="14" t="str">
        <f aca="false">IF(AND(T66="YES",R66&gt;Parameters!$B$17),"Watch - stockout",IF(AND(U66="YES",S66&gt;Parameters!$B$20),"Watch - excess capital","Routine"))</f>
        <v>Routine</v>
      </c>
    </row>
    <row r="67" customFormat="false" ht="15" hidden="false" customHeight="false" outlineLevel="0" collapsed="false">
      <c r="A67" s="10" t="s">
        <v>170</v>
      </c>
      <c r="B67" s="10" t="s">
        <v>168</v>
      </c>
      <c r="C67" s="10" t="s">
        <v>90</v>
      </c>
      <c r="D67" s="11" t="n">
        <v>94436</v>
      </c>
      <c r="E67" s="12" t="n">
        <v>129.19</v>
      </c>
      <c r="F67" s="12" t="n">
        <v>107.46</v>
      </c>
      <c r="G67" s="12" t="n">
        <v>272.02</v>
      </c>
      <c r="H67" s="12" t="n">
        <v>55.72</v>
      </c>
      <c r="I67" s="11" t="n">
        <v>131</v>
      </c>
      <c r="J67" s="11" t="n">
        <v>169</v>
      </c>
      <c r="K67" s="11" t="n">
        <v>5</v>
      </c>
      <c r="L67" s="11" t="n">
        <v>30</v>
      </c>
      <c r="M67" s="12" t="n">
        <v>218.3</v>
      </c>
      <c r="N67" s="12" t="n">
        <v>5.08</v>
      </c>
      <c r="O67" s="9" t="n">
        <f aca="false">IFERROR(D67/G67/(Parameters!$B$8/Parameters!$B$9),0)</f>
        <v>173.464095089974</v>
      </c>
      <c r="P67" s="9" t="n">
        <f aca="false">IFERROR(G67/E67,0)</f>
        <v>2.10558092731636</v>
      </c>
      <c r="Q67" s="13" t="n">
        <f aca="false">G67*H67</f>
        <v>15156.9544</v>
      </c>
      <c r="R67" s="15" t="n">
        <f aca="false">100*I67/Parameters!$B$8</f>
        <v>17.9206566347469</v>
      </c>
      <c r="S67" s="15" t="n">
        <f aca="false">100*J67/Parameters!$B$8</f>
        <v>23.1190150478796</v>
      </c>
      <c r="T67" s="14" t="str">
        <f aca="false">IF(OR(R67&lt;Parameters!$B$16,R67&gt;Parameters!$B$17),"YES","no - within noise")</f>
        <v>no - within noise</v>
      </c>
      <c r="U67" s="14" t="str">
        <f aca="false">IF(OR(S67&lt;Parameters!$B$19,S67&gt;Parameters!$B$20),"YES","no - within noise")</f>
        <v>no - within noise</v>
      </c>
      <c r="V67" s="14" t="str">
        <f aca="false">IF(AND(T67="YES",R67&gt;Parameters!$B$17),"Watch - stockout",IF(AND(U67="YES",S67&gt;Parameters!$B$20),"Watch - excess capital","Routine"))</f>
        <v>Routine</v>
      </c>
    </row>
    <row r="68" customFormat="false" ht="15" hidden="false" customHeight="false" outlineLevel="0" collapsed="false">
      <c r="A68" s="10" t="s">
        <v>171</v>
      </c>
      <c r="B68" s="10" t="s">
        <v>168</v>
      </c>
      <c r="C68" s="10" t="s">
        <v>92</v>
      </c>
      <c r="D68" s="11" t="n">
        <v>95814</v>
      </c>
      <c r="E68" s="12" t="n">
        <v>131.07</v>
      </c>
      <c r="F68" s="12" t="n">
        <v>107.12</v>
      </c>
      <c r="G68" s="12" t="n">
        <v>270.18</v>
      </c>
      <c r="H68" s="12" t="n">
        <v>56.68</v>
      </c>
      <c r="I68" s="11" t="n">
        <v>140</v>
      </c>
      <c r="J68" s="11" t="n">
        <v>163</v>
      </c>
      <c r="K68" s="11" t="n">
        <v>3</v>
      </c>
      <c r="L68" s="11" t="n">
        <v>25</v>
      </c>
      <c r="M68" s="12" t="n">
        <v>117.7</v>
      </c>
      <c r="N68" s="12" t="n">
        <v>5.19</v>
      </c>
      <c r="O68" s="9" t="n">
        <f aca="false">IFERROR(D68/G68/(Parameters!$B$8/Parameters!$B$9),0)</f>
        <v>177.193840677123</v>
      </c>
      <c r="P68" s="9" t="n">
        <f aca="false">IFERROR(G68/E68,0)</f>
        <v>2.06134126802472</v>
      </c>
      <c r="Q68" s="13" t="n">
        <f aca="false">G68*H68</f>
        <v>15313.8024</v>
      </c>
      <c r="R68" s="15" t="n">
        <f aca="false">100*I68/Parameters!$B$8</f>
        <v>19.1518467852257</v>
      </c>
      <c r="S68" s="15" t="n">
        <f aca="false">100*J68/Parameters!$B$8</f>
        <v>22.2982216142271</v>
      </c>
      <c r="T68" s="14" t="str">
        <f aca="false">IF(OR(R68&lt;Parameters!$B$16,R68&gt;Parameters!$B$17),"YES","no - within noise")</f>
        <v>no - within noise</v>
      </c>
      <c r="U68" s="14" t="str">
        <f aca="false">IF(OR(S68&lt;Parameters!$B$19,S68&gt;Parameters!$B$20),"YES","no - within noise")</f>
        <v>no - within noise</v>
      </c>
      <c r="V68" s="14" t="str">
        <f aca="false">IF(AND(T68="YES",R68&gt;Parameters!$B$17),"Watch - stockout",IF(AND(U68="YES",S68&gt;Parameters!$B$20),"Watch - excess capital","Routine"))</f>
        <v>Routine</v>
      </c>
    </row>
    <row r="69" customFormat="false" ht="15" hidden="false" customHeight="false" outlineLevel="0" collapsed="false">
      <c r="A69" s="10" t="s">
        <v>172</v>
      </c>
      <c r="B69" s="10" t="s">
        <v>168</v>
      </c>
      <c r="C69" s="10" t="s">
        <v>94</v>
      </c>
      <c r="D69" s="11" t="n">
        <v>100309</v>
      </c>
      <c r="E69" s="12" t="n">
        <v>137.22</v>
      </c>
      <c r="F69" s="12" t="n">
        <v>107.08</v>
      </c>
      <c r="G69" s="12" t="n">
        <v>270.45</v>
      </c>
      <c r="H69" s="12" t="n">
        <v>56.65</v>
      </c>
      <c r="I69" s="11" t="n">
        <v>141</v>
      </c>
      <c r="J69" s="11" t="n">
        <v>135</v>
      </c>
      <c r="K69" s="11" t="n">
        <v>3</v>
      </c>
      <c r="L69" s="11" t="n">
        <v>26</v>
      </c>
      <c r="M69" s="12" t="n">
        <v>199</v>
      </c>
      <c r="N69" s="12" t="n">
        <v>5.08</v>
      </c>
      <c r="O69" s="9" t="n">
        <f aca="false">IFERROR(D69/G69/(Parameters!$B$8/Parameters!$B$9),0)</f>
        <v>185.321481221827</v>
      </c>
      <c r="P69" s="9" t="n">
        <f aca="false">IFERROR(G69/E69,0)</f>
        <v>1.97092260603411</v>
      </c>
      <c r="Q69" s="13" t="n">
        <f aca="false">G69*H69</f>
        <v>15320.9925</v>
      </c>
      <c r="R69" s="15" t="n">
        <f aca="false">100*I69/Parameters!$B$8</f>
        <v>19.2886456908345</v>
      </c>
      <c r="S69" s="15" t="n">
        <f aca="false">100*J69/Parameters!$B$8</f>
        <v>18.4678522571819</v>
      </c>
      <c r="T69" s="14" t="str">
        <f aca="false">IF(OR(R69&lt;Parameters!$B$16,R69&gt;Parameters!$B$17),"YES","no - within noise")</f>
        <v>no - within noise</v>
      </c>
      <c r="U69" s="14" t="str">
        <f aca="false">IF(OR(S69&lt;Parameters!$B$19,S69&gt;Parameters!$B$20),"YES","no - within noise")</f>
        <v>no - within noise</v>
      </c>
      <c r="V69" s="14" t="str">
        <f aca="false">IF(AND(T69="YES",R69&gt;Parameters!$B$17),"Watch - stockout",IF(AND(U69="YES",S69&gt;Parameters!$B$20),"Watch - excess capital","Routine"))</f>
        <v>Routine</v>
      </c>
    </row>
    <row r="70" customFormat="false" ht="15" hidden="false" customHeight="false" outlineLevel="0" collapsed="false">
      <c r="A70" s="10" t="s">
        <v>173</v>
      </c>
      <c r="B70" s="10" t="s">
        <v>168</v>
      </c>
      <c r="C70" s="10" t="s">
        <v>96</v>
      </c>
      <c r="D70" s="11" t="n">
        <v>103147</v>
      </c>
      <c r="E70" s="12" t="n">
        <v>141.1</v>
      </c>
      <c r="F70" s="12" t="n">
        <v>108.44</v>
      </c>
      <c r="G70" s="12" t="n">
        <v>273.6</v>
      </c>
      <c r="H70" s="12" t="n">
        <v>52.33</v>
      </c>
      <c r="I70" s="11" t="n">
        <v>151</v>
      </c>
      <c r="J70" s="11" t="n">
        <v>116</v>
      </c>
      <c r="K70" s="11" t="n">
        <v>6</v>
      </c>
      <c r="L70" s="11" t="n">
        <v>31</v>
      </c>
      <c r="M70" s="12" t="n">
        <v>280.6</v>
      </c>
      <c r="N70" s="12" t="n">
        <v>4.93</v>
      </c>
      <c r="O70" s="9" t="n">
        <f aca="false">IFERROR(D70/G70/(Parameters!$B$8/Parameters!$B$9),0)</f>
        <v>188.370701784386</v>
      </c>
      <c r="P70" s="9" t="n">
        <f aca="false">IFERROR(G70/E70,0)</f>
        <v>1.93905031892275</v>
      </c>
      <c r="Q70" s="13" t="n">
        <f aca="false">G70*H70</f>
        <v>14317.488</v>
      </c>
      <c r="R70" s="15" t="n">
        <f aca="false">100*I70/Parameters!$B$8</f>
        <v>20.656634746922</v>
      </c>
      <c r="S70" s="15" t="n">
        <f aca="false">100*J70/Parameters!$B$8</f>
        <v>15.8686730506156</v>
      </c>
      <c r="T70" s="14" t="str">
        <f aca="false">IF(OR(R70&lt;Parameters!$B$16,R70&gt;Parameters!$B$17),"YES","no - within noise")</f>
        <v>no - within noise</v>
      </c>
      <c r="U70" s="14" t="str">
        <f aca="false">IF(OR(S70&lt;Parameters!$B$19,S70&gt;Parameters!$B$20),"YES","no - within noise")</f>
        <v>no - within noise</v>
      </c>
      <c r="V70" s="14" t="str">
        <f aca="false">IF(AND(T70="YES",R70&gt;Parameters!$B$17),"Watch - stockout",IF(AND(U70="YES",S70&gt;Parameters!$B$20),"Watch - excess capital","Routine"))</f>
        <v>Routine</v>
      </c>
    </row>
    <row r="71" customFormat="false" ht="15" hidden="false" customHeight="false" outlineLevel="0" collapsed="false">
      <c r="A71" s="10" t="s">
        <v>174</v>
      </c>
      <c r="B71" s="10" t="s">
        <v>168</v>
      </c>
      <c r="C71" s="10" t="s">
        <v>98</v>
      </c>
      <c r="D71" s="11" t="n">
        <v>95309</v>
      </c>
      <c r="E71" s="12" t="n">
        <v>130.38</v>
      </c>
      <c r="F71" s="12" t="n">
        <v>105.84</v>
      </c>
      <c r="G71" s="12" t="n">
        <v>262.13</v>
      </c>
      <c r="H71" s="12" t="n">
        <v>54.33</v>
      </c>
      <c r="I71" s="11" t="n">
        <v>136</v>
      </c>
      <c r="J71" s="11" t="n">
        <v>147</v>
      </c>
      <c r="K71" s="11" t="n">
        <v>5</v>
      </c>
      <c r="L71" s="11" t="n">
        <v>27</v>
      </c>
      <c r="M71" s="12" t="n">
        <v>216.2</v>
      </c>
      <c r="N71" s="12" t="n">
        <v>5.07</v>
      </c>
      <c r="O71" s="9" t="n">
        <f aca="false">IFERROR(D71/G71/(Parameters!$B$8/Parameters!$B$9),0)</f>
        <v>181.672851572744</v>
      </c>
      <c r="P71" s="9" t="n">
        <f aca="false">IFERROR(G71/E71,0)</f>
        <v>2.0105077465869</v>
      </c>
      <c r="Q71" s="13" t="n">
        <f aca="false">G71*H71</f>
        <v>14241.5229</v>
      </c>
      <c r="R71" s="15" t="n">
        <f aca="false">100*I71/Parameters!$B$8</f>
        <v>18.6046511627907</v>
      </c>
      <c r="S71" s="15" t="n">
        <f aca="false">100*J71/Parameters!$B$8</f>
        <v>20.109439124487</v>
      </c>
      <c r="T71" s="14" t="str">
        <f aca="false">IF(OR(R71&lt;Parameters!$B$16,R71&gt;Parameters!$B$17),"YES","no - within noise")</f>
        <v>no - within noise</v>
      </c>
      <c r="U71" s="14" t="str">
        <f aca="false">IF(OR(S71&lt;Parameters!$B$19,S71&gt;Parameters!$B$20),"YES","no - within noise")</f>
        <v>no - within noise</v>
      </c>
      <c r="V71" s="14" t="str">
        <f aca="false">IF(AND(T71="YES",R71&gt;Parameters!$B$17),"Watch - stockout",IF(AND(U71="YES",S71&gt;Parameters!$B$20),"Watch - excess capital","Routine"))</f>
        <v>Routine</v>
      </c>
    </row>
    <row r="72" customFormat="false" ht="15" hidden="false" customHeight="false" outlineLevel="0" collapsed="false">
      <c r="A72" s="10" t="s">
        <v>175</v>
      </c>
      <c r="B72" s="10" t="s">
        <v>168</v>
      </c>
      <c r="C72" s="10" t="s">
        <v>100</v>
      </c>
      <c r="D72" s="11" t="n">
        <v>98371</v>
      </c>
      <c r="E72" s="12" t="n">
        <v>134.57</v>
      </c>
      <c r="F72" s="12" t="n">
        <v>106.94</v>
      </c>
      <c r="G72" s="12" t="n">
        <v>273.29</v>
      </c>
      <c r="H72" s="12" t="n">
        <v>55.92</v>
      </c>
      <c r="I72" s="11" t="n">
        <v>127</v>
      </c>
      <c r="J72" s="11" t="n">
        <v>152</v>
      </c>
      <c r="K72" s="11" t="n">
        <v>4</v>
      </c>
      <c r="L72" s="11" t="n">
        <v>34</v>
      </c>
      <c r="M72" s="12" t="n">
        <v>250.3</v>
      </c>
      <c r="N72" s="12" t="n">
        <v>4.47</v>
      </c>
      <c r="O72" s="9" t="n">
        <f aca="false">IFERROR(D72/G72/(Parameters!$B$8/Parameters!$B$9),0)</f>
        <v>179.852381672</v>
      </c>
      <c r="P72" s="9" t="n">
        <f aca="false">IFERROR(G72/E72,0)</f>
        <v>2.03083896856655</v>
      </c>
      <c r="Q72" s="13" t="n">
        <f aca="false">G72*H72</f>
        <v>15282.3768</v>
      </c>
      <c r="R72" s="15" t="n">
        <f aca="false">100*I72/Parameters!$B$8</f>
        <v>17.3734610123119</v>
      </c>
      <c r="S72" s="15" t="n">
        <f aca="false">100*J72/Parameters!$B$8</f>
        <v>20.7934336525308</v>
      </c>
      <c r="T72" s="14" t="str">
        <f aca="false">IF(OR(R72&lt;Parameters!$B$16,R72&gt;Parameters!$B$17),"YES","no - within noise")</f>
        <v>no - within noise</v>
      </c>
      <c r="U72" s="14" t="str">
        <f aca="false">IF(OR(S72&lt;Parameters!$B$19,S72&gt;Parameters!$B$20),"YES","no - within noise")</f>
        <v>no - within noise</v>
      </c>
      <c r="V72" s="14" t="str">
        <f aca="false">IF(AND(T72="YES",R72&gt;Parameters!$B$17),"Watch - stockout",IF(AND(U72="YES",S72&gt;Parameters!$B$20),"Watch - excess capital","Routine"))</f>
        <v>Routine</v>
      </c>
    </row>
    <row r="73" customFormat="false" ht="15" hidden="false" customHeight="false" outlineLevel="0" collapsed="false">
      <c r="A73" s="10" t="s">
        <v>176</v>
      </c>
      <c r="B73" s="10" t="s">
        <v>168</v>
      </c>
      <c r="C73" s="10" t="s">
        <v>102</v>
      </c>
      <c r="D73" s="11" t="n">
        <v>98390</v>
      </c>
      <c r="E73" s="12" t="n">
        <v>134.6</v>
      </c>
      <c r="F73" s="12" t="n">
        <v>112.51</v>
      </c>
      <c r="G73" s="12" t="n">
        <v>270.73</v>
      </c>
      <c r="H73" s="12" t="n">
        <v>55.09</v>
      </c>
      <c r="I73" s="11" t="n">
        <v>150</v>
      </c>
      <c r="J73" s="11" t="n">
        <v>145</v>
      </c>
      <c r="K73" s="11" t="n">
        <v>5</v>
      </c>
      <c r="L73" s="11" t="n">
        <v>30</v>
      </c>
      <c r="M73" s="12" t="n">
        <v>238.6</v>
      </c>
      <c r="N73" s="12" t="n">
        <v>5.07</v>
      </c>
      <c r="O73" s="9" t="n">
        <f aca="false">IFERROR(D73/G73/(Parameters!$B$8/Parameters!$B$9),0)</f>
        <v>181.588116903161</v>
      </c>
      <c r="P73" s="9" t="n">
        <f aca="false">IFERROR(G73/E73,0)</f>
        <v>2.01136701337296</v>
      </c>
      <c r="Q73" s="13" t="n">
        <f aca="false">G73*H73</f>
        <v>14914.5157</v>
      </c>
      <c r="R73" s="15" t="n">
        <f aca="false">100*I73/Parameters!$B$8</f>
        <v>20.5198358413133</v>
      </c>
      <c r="S73" s="15" t="n">
        <f aca="false">100*J73/Parameters!$B$8</f>
        <v>19.8358413132695</v>
      </c>
      <c r="T73" s="14" t="str">
        <f aca="false">IF(OR(R73&lt;Parameters!$B$16,R73&gt;Parameters!$B$17),"YES","no - within noise")</f>
        <v>no - within noise</v>
      </c>
      <c r="U73" s="14" t="str">
        <f aca="false">IF(OR(S73&lt;Parameters!$B$19,S73&gt;Parameters!$B$20),"YES","no - within noise")</f>
        <v>no - within noise</v>
      </c>
      <c r="V73" s="14" t="str">
        <f aca="false">IF(AND(T73="YES",R73&gt;Parameters!$B$17),"Watch - stockout",IF(AND(U73="YES",S73&gt;Parameters!$B$20),"Watch - excess capital","Routine"))</f>
        <v>Routine</v>
      </c>
    </row>
    <row r="74" customFormat="false" ht="15" hidden="false" customHeight="false" outlineLevel="0" collapsed="false">
      <c r="A74" s="10" t="s">
        <v>177</v>
      </c>
      <c r="B74" s="10" t="s">
        <v>168</v>
      </c>
      <c r="C74" s="10" t="s">
        <v>104</v>
      </c>
      <c r="D74" s="11" t="n">
        <v>100728</v>
      </c>
      <c r="E74" s="12" t="n">
        <v>137.79</v>
      </c>
      <c r="F74" s="12" t="n">
        <v>111.13</v>
      </c>
      <c r="G74" s="12" t="n">
        <v>280.39</v>
      </c>
      <c r="H74" s="12" t="n">
        <v>55.51</v>
      </c>
      <c r="I74" s="11" t="n">
        <v>118</v>
      </c>
      <c r="J74" s="11" t="n">
        <v>150</v>
      </c>
      <c r="K74" s="11" t="n">
        <v>4</v>
      </c>
      <c r="L74" s="11" t="n">
        <v>36</v>
      </c>
      <c r="M74" s="12" t="n">
        <v>223.5</v>
      </c>
      <c r="N74" s="12" t="n">
        <v>4.87</v>
      </c>
      <c r="O74" s="9" t="n">
        <f aca="false">IFERROR(D74/G74/(Parameters!$B$8/Parameters!$B$9),0)</f>
        <v>179.49838189518</v>
      </c>
      <c r="P74" s="9" t="n">
        <f aca="false">IFERROR(G74/E74,0)</f>
        <v>2.03490819362798</v>
      </c>
      <c r="Q74" s="13" t="n">
        <f aca="false">G74*H74</f>
        <v>15564.4489</v>
      </c>
      <c r="R74" s="15" t="n">
        <f aca="false">100*I74/Parameters!$B$8</f>
        <v>16.1422708618331</v>
      </c>
      <c r="S74" s="15" t="n">
        <f aca="false">100*J74/Parameters!$B$8</f>
        <v>20.5198358413133</v>
      </c>
      <c r="T74" s="14" t="str">
        <f aca="false">IF(OR(R74&lt;Parameters!$B$16,R74&gt;Parameters!$B$17),"YES","no - within noise")</f>
        <v>no - within noise</v>
      </c>
      <c r="U74" s="14" t="str">
        <f aca="false">IF(OR(S74&lt;Parameters!$B$19,S74&gt;Parameters!$B$20),"YES","no - within noise")</f>
        <v>no - within noise</v>
      </c>
      <c r="V74" s="14" t="str">
        <f aca="false">IF(AND(T74="YES",R74&gt;Parameters!$B$17),"Watch - stockout",IF(AND(U74="YES",S74&gt;Parameters!$B$20),"Watch - excess capital","Routine"))</f>
        <v>Routine</v>
      </c>
    </row>
    <row r="75" customFormat="false" ht="15" hidden="false" customHeight="false" outlineLevel="0" collapsed="false">
      <c r="A75" s="10" t="s">
        <v>178</v>
      </c>
      <c r="B75" s="10" t="s">
        <v>168</v>
      </c>
      <c r="C75" s="10" t="s">
        <v>106</v>
      </c>
      <c r="D75" s="11" t="n">
        <v>102149</v>
      </c>
      <c r="E75" s="12" t="n">
        <v>139.74</v>
      </c>
      <c r="F75" s="12" t="n">
        <v>106.62</v>
      </c>
      <c r="G75" s="12" t="n">
        <v>271.73</v>
      </c>
      <c r="H75" s="12" t="n">
        <v>55.99</v>
      </c>
      <c r="I75" s="11" t="n">
        <v>145</v>
      </c>
      <c r="J75" s="11" t="n">
        <v>119</v>
      </c>
      <c r="K75" s="11" t="n">
        <v>5</v>
      </c>
      <c r="L75" s="11" t="n">
        <v>25</v>
      </c>
      <c r="M75" s="12" t="n">
        <v>166.4</v>
      </c>
      <c r="N75" s="12" t="n">
        <v>5.12</v>
      </c>
      <c r="O75" s="9" t="n">
        <f aca="false">IFERROR(D75/G75/(Parameters!$B$8/Parameters!$B$9),0)</f>
        <v>187.831911535265</v>
      </c>
      <c r="P75" s="9" t="n">
        <f aca="false">IFERROR(G75/E75,0)</f>
        <v>1.94453985973952</v>
      </c>
      <c r="Q75" s="13" t="n">
        <f aca="false">G75*H75</f>
        <v>15214.1627</v>
      </c>
      <c r="R75" s="15" t="n">
        <f aca="false">100*I75/Parameters!$B$8</f>
        <v>19.8358413132695</v>
      </c>
      <c r="S75" s="15" t="n">
        <f aca="false">100*J75/Parameters!$B$8</f>
        <v>16.2790697674419</v>
      </c>
      <c r="T75" s="14" t="str">
        <f aca="false">IF(OR(R75&lt;Parameters!$B$16,R75&gt;Parameters!$B$17),"YES","no - within noise")</f>
        <v>no - within noise</v>
      </c>
      <c r="U75" s="14" t="str">
        <f aca="false">IF(OR(S75&lt;Parameters!$B$19,S75&gt;Parameters!$B$20),"YES","no - within noise")</f>
        <v>no - within noise</v>
      </c>
      <c r="V75" s="14" t="str">
        <f aca="false">IF(AND(T75="YES",R75&gt;Parameters!$B$17),"Watch - stockout",IF(AND(U75="YES",S75&gt;Parameters!$B$20),"Watch - excess capital","Routine"))</f>
        <v>Routine</v>
      </c>
    </row>
    <row r="76" customFormat="false" ht="15" hidden="false" customHeight="false" outlineLevel="0" collapsed="false">
      <c r="A76" s="10" t="s">
        <v>179</v>
      </c>
      <c r="B76" s="10" t="s">
        <v>168</v>
      </c>
      <c r="C76" s="10" t="s">
        <v>108</v>
      </c>
      <c r="D76" s="11" t="n">
        <v>96327</v>
      </c>
      <c r="E76" s="12" t="n">
        <v>131.77</v>
      </c>
      <c r="F76" s="12" t="n">
        <v>103.96</v>
      </c>
      <c r="G76" s="12" t="n">
        <v>268.75</v>
      </c>
      <c r="H76" s="12" t="n">
        <v>56.85</v>
      </c>
      <c r="I76" s="11" t="n">
        <v>141</v>
      </c>
      <c r="J76" s="11" t="n">
        <v>148</v>
      </c>
      <c r="K76" s="11" t="n">
        <v>6</v>
      </c>
      <c r="L76" s="11" t="n">
        <v>28</v>
      </c>
      <c r="M76" s="12" t="n">
        <v>235.3</v>
      </c>
      <c r="N76" s="12" t="n">
        <v>5.43</v>
      </c>
      <c r="O76" s="9" t="n">
        <f aca="false">IFERROR(D76/G76/(Parameters!$B$8/Parameters!$B$9),0)</f>
        <v>179.090442528553</v>
      </c>
      <c r="P76" s="9" t="n">
        <f aca="false">IFERROR(G76/E76,0)</f>
        <v>2.03953858996737</v>
      </c>
      <c r="Q76" s="13" t="n">
        <f aca="false">G76*H76</f>
        <v>15278.4375</v>
      </c>
      <c r="R76" s="15" t="n">
        <f aca="false">100*I76/Parameters!$B$8</f>
        <v>19.2886456908345</v>
      </c>
      <c r="S76" s="15" t="n">
        <f aca="false">100*J76/Parameters!$B$8</f>
        <v>20.2462380300958</v>
      </c>
      <c r="T76" s="14" t="str">
        <f aca="false">IF(OR(R76&lt;Parameters!$B$16,R76&gt;Parameters!$B$17),"YES","no - within noise")</f>
        <v>no - within noise</v>
      </c>
      <c r="U76" s="14" t="str">
        <f aca="false">IF(OR(S76&lt;Parameters!$B$19,S76&gt;Parameters!$B$20),"YES","no - within noise")</f>
        <v>no - within noise</v>
      </c>
      <c r="V76" s="14" t="str">
        <f aca="false">IF(AND(T76="YES",R76&gt;Parameters!$B$17),"Watch - stockout",IF(AND(U76="YES",S76&gt;Parameters!$B$20),"Watch - excess capital","Routine"))</f>
        <v>Routine</v>
      </c>
    </row>
    <row r="77" customFormat="false" ht="15" hidden="false" customHeight="false" outlineLevel="0" collapsed="false">
      <c r="A77" s="10" t="s">
        <v>180</v>
      </c>
      <c r="B77" s="10" t="s">
        <v>168</v>
      </c>
      <c r="C77" s="10" t="s">
        <v>110</v>
      </c>
      <c r="D77" s="11" t="n">
        <v>96049</v>
      </c>
      <c r="E77" s="12" t="n">
        <v>131.39</v>
      </c>
      <c r="F77" s="12" t="n">
        <v>104.84</v>
      </c>
      <c r="G77" s="12" t="n">
        <v>265.21</v>
      </c>
      <c r="H77" s="12" t="n">
        <v>55.1</v>
      </c>
      <c r="I77" s="11" t="n">
        <v>152</v>
      </c>
      <c r="J77" s="11" t="n">
        <v>148</v>
      </c>
      <c r="K77" s="11" t="n">
        <v>8</v>
      </c>
      <c r="L77" s="11" t="n">
        <v>27</v>
      </c>
      <c r="M77" s="12" t="n">
        <v>168.8</v>
      </c>
      <c r="N77" s="12" t="n">
        <v>5.12</v>
      </c>
      <c r="O77" s="9" t="n">
        <f aca="false">IFERROR(D77/G77/(Parameters!$B$8/Parameters!$B$9),0)</f>
        <v>180.95717169333</v>
      </c>
      <c r="P77" s="9" t="n">
        <f aca="false">IFERROR(G77/E77,0)</f>
        <v>2.01849455818555</v>
      </c>
      <c r="Q77" s="13" t="n">
        <f aca="false">G77*H77</f>
        <v>14613.071</v>
      </c>
      <c r="R77" s="15" t="n">
        <f aca="false">100*I77/Parameters!$B$8</f>
        <v>20.7934336525308</v>
      </c>
      <c r="S77" s="15" t="n">
        <f aca="false">100*J77/Parameters!$B$8</f>
        <v>20.2462380300958</v>
      </c>
      <c r="T77" s="14" t="str">
        <f aca="false">IF(OR(R77&lt;Parameters!$B$16,R77&gt;Parameters!$B$17),"YES","no - within noise")</f>
        <v>no - within noise</v>
      </c>
      <c r="U77" s="14" t="str">
        <f aca="false">IF(OR(S77&lt;Parameters!$B$19,S77&gt;Parameters!$B$20),"YES","no - within noise")</f>
        <v>no - within noise</v>
      </c>
      <c r="V77" s="14" t="str">
        <f aca="false">IF(AND(T77="YES",R77&gt;Parameters!$B$17),"Watch - stockout",IF(AND(U77="YES",S77&gt;Parameters!$B$20),"Watch - excess capital","Routine"))</f>
        <v>Routine</v>
      </c>
    </row>
    <row r="78" customFormat="false" ht="15" hidden="false" customHeight="false" outlineLevel="0" collapsed="false">
      <c r="A78" s="10" t="s">
        <v>181</v>
      </c>
      <c r="B78" s="10" t="s">
        <v>168</v>
      </c>
      <c r="C78" s="10" t="s">
        <v>112</v>
      </c>
      <c r="D78" s="11" t="n">
        <v>103904</v>
      </c>
      <c r="E78" s="12" t="n">
        <v>142.14</v>
      </c>
      <c r="F78" s="12" t="n">
        <v>111</v>
      </c>
      <c r="G78" s="12" t="n">
        <v>282.35</v>
      </c>
      <c r="H78" s="12" t="n">
        <v>55.83</v>
      </c>
      <c r="I78" s="11" t="n">
        <v>135</v>
      </c>
      <c r="J78" s="11" t="n">
        <v>131</v>
      </c>
      <c r="K78" s="11" t="n">
        <v>4</v>
      </c>
      <c r="L78" s="11" t="n">
        <v>20</v>
      </c>
      <c r="M78" s="12" t="n">
        <v>158.1</v>
      </c>
      <c r="N78" s="12" t="n">
        <v>4.78</v>
      </c>
      <c r="O78" s="9" t="n">
        <f aca="false">IFERROR(D78/G78/(Parameters!$B$8/Parameters!$B$9),0)</f>
        <v>183.872729294419</v>
      </c>
      <c r="P78" s="9" t="n">
        <f aca="false">IFERROR(G78/E78,0)</f>
        <v>1.98642183762488</v>
      </c>
      <c r="Q78" s="13" t="n">
        <f aca="false">G78*H78</f>
        <v>15763.6005</v>
      </c>
      <c r="R78" s="15" t="n">
        <f aca="false">100*I78/Parameters!$B$8</f>
        <v>18.4678522571819</v>
      </c>
      <c r="S78" s="15" t="n">
        <f aca="false">100*J78/Parameters!$B$8</f>
        <v>17.9206566347469</v>
      </c>
      <c r="T78" s="14" t="str">
        <f aca="false">IF(OR(R78&lt;Parameters!$B$16,R78&gt;Parameters!$B$17),"YES","no - within noise")</f>
        <v>no - within noise</v>
      </c>
      <c r="U78" s="14" t="str">
        <f aca="false">IF(OR(S78&lt;Parameters!$B$19,S78&gt;Parameters!$B$20),"YES","no - within noise")</f>
        <v>no - within noise</v>
      </c>
      <c r="V78" s="14" t="str">
        <f aca="false">IF(AND(T78="YES",R78&gt;Parameters!$B$17),"Watch - stockout",IF(AND(U78="YES",S78&gt;Parameters!$B$20),"Watch - excess capital","Routine"))</f>
        <v>Routine</v>
      </c>
    </row>
    <row r="79" customFormat="false" ht="15" hidden="false" customHeight="false" outlineLevel="0" collapsed="false">
      <c r="A79" s="10" t="s">
        <v>182</v>
      </c>
      <c r="B79" s="10" t="s">
        <v>168</v>
      </c>
      <c r="C79" s="10" t="s">
        <v>114</v>
      </c>
      <c r="D79" s="11" t="n">
        <v>100664</v>
      </c>
      <c r="E79" s="12" t="n">
        <v>137.71</v>
      </c>
      <c r="F79" s="12" t="n">
        <v>108.2</v>
      </c>
      <c r="G79" s="12" t="n">
        <v>277.69</v>
      </c>
      <c r="H79" s="12" t="n">
        <v>54.38</v>
      </c>
      <c r="I79" s="11" t="n">
        <v>138</v>
      </c>
      <c r="J79" s="11" t="n">
        <v>121</v>
      </c>
      <c r="K79" s="11" t="n">
        <v>5</v>
      </c>
      <c r="L79" s="11" t="n">
        <v>27</v>
      </c>
      <c r="M79" s="12" t="n">
        <v>167</v>
      </c>
      <c r="N79" s="12" t="n">
        <v>5.26</v>
      </c>
      <c r="O79" s="9" t="n">
        <f aca="false">IFERROR(D79/G79/(Parameters!$B$8/Parameters!$B$9),0)</f>
        <v>181.128500080718</v>
      </c>
      <c r="P79" s="9" t="n">
        <f aca="false">IFERROR(G79/E79,0)</f>
        <v>2.01648391547455</v>
      </c>
      <c r="Q79" s="13" t="n">
        <f aca="false">G79*H79</f>
        <v>15100.7822</v>
      </c>
      <c r="R79" s="15" t="n">
        <f aca="false">100*I79/Parameters!$B$8</f>
        <v>18.8782489740082</v>
      </c>
      <c r="S79" s="15" t="n">
        <f aca="false">100*J79/Parameters!$B$8</f>
        <v>16.5526675786594</v>
      </c>
      <c r="T79" s="14" t="str">
        <f aca="false">IF(OR(R79&lt;Parameters!$B$16,R79&gt;Parameters!$B$17),"YES","no - within noise")</f>
        <v>no - within noise</v>
      </c>
      <c r="U79" s="14" t="str">
        <f aca="false">IF(OR(S79&lt;Parameters!$B$19,S79&gt;Parameters!$B$20),"YES","no - within noise")</f>
        <v>no - within noise</v>
      </c>
      <c r="V79" s="14" t="str">
        <f aca="false">IF(AND(T79="YES",R79&gt;Parameters!$B$17),"Watch - stockout",IF(AND(U79="YES",S79&gt;Parameters!$B$20),"Watch - excess capital","Routine"))</f>
        <v>Routine</v>
      </c>
    </row>
    <row r="80" customFormat="false" ht="15" hidden="false" customHeight="false" outlineLevel="0" collapsed="false">
      <c r="A80" s="10" t="s">
        <v>183</v>
      </c>
      <c r="B80" s="10" t="s">
        <v>168</v>
      </c>
      <c r="C80" s="10" t="s">
        <v>116</v>
      </c>
      <c r="D80" s="11" t="n">
        <v>104777</v>
      </c>
      <c r="E80" s="12" t="n">
        <v>143.33</v>
      </c>
      <c r="F80" s="12" t="n">
        <v>107.7</v>
      </c>
      <c r="G80" s="12" t="n">
        <v>280.27</v>
      </c>
      <c r="H80" s="12" t="n">
        <v>55.01</v>
      </c>
      <c r="I80" s="11" t="n">
        <v>144</v>
      </c>
      <c r="J80" s="11" t="n">
        <v>106</v>
      </c>
      <c r="K80" s="11" t="n">
        <v>2</v>
      </c>
      <c r="L80" s="11" t="n">
        <v>20</v>
      </c>
      <c r="M80" s="12" t="n">
        <v>105.5</v>
      </c>
      <c r="N80" s="12" t="n">
        <v>4.72</v>
      </c>
      <c r="O80" s="9" t="n">
        <f aca="false">IFERROR(D80/G80/(Parameters!$B$8/Parameters!$B$9),0)</f>
        <v>186.793686633131</v>
      </c>
      <c r="P80" s="9" t="n">
        <f aca="false">IFERROR(G80/E80,0)</f>
        <v>1.95541756785041</v>
      </c>
      <c r="Q80" s="13" t="n">
        <f aca="false">G80*H80</f>
        <v>15417.6527</v>
      </c>
      <c r="R80" s="15" t="n">
        <f aca="false">100*I80/Parameters!$B$8</f>
        <v>19.6990424076607</v>
      </c>
      <c r="S80" s="15" t="n">
        <f aca="false">100*J80/Parameters!$B$8</f>
        <v>14.500683994528</v>
      </c>
      <c r="T80" s="14" t="str">
        <f aca="false">IF(OR(R80&lt;Parameters!$B$16,R80&gt;Parameters!$B$17),"YES","no - within noise")</f>
        <v>no - within noise</v>
      </c>
      <c r="U80" s="14" t="str">
        <f aca="false">IF(OR(S80&lt;Parameters!$B$19,S80&gt;Parameters!$B$20),"YES","no - within noise")</f>
        <v>YES</v>
      </c>
      <c r="V80" s="14" t="str">
        <f aca="false">IF(AND(T80="YES",R80&gt;Parameters!$B$17),"Watch - stockout",IF(AND(U80="YES",S80&gt;Parameters!$B$20),"Watch - excess capital","Routine"))</f>
        <v>Routine</v>
      </c>
    </row>
    <row r="81" customFormat="false" ht="15" hidden="false" customHeight="false" outlineLevel="0" collapsed="false">
      <c r="A81" s="10" t="s">
        <v>184</v>
      </c>
      <c r="B81" s="10" t="s">
        <v>168</v>
      </c>
      <c r="C81" s="10" t="s">
        <v>118</v>
      </c>
      <c r="D81" s="11" t="n">
        <v>99123</v>
      </c>
      <c r="E81" s="12" t="n">
        <v>135.6</v>
      </c>
      <c r="F81" s="12" t="n">
        <v>107.63</v>
      </c>
      <c r="G81" s="12" t="n">
        <v>271.99</v>
      </c>
      <c r="H81" s="12" t="n">
        <v>54.75</v>
      </c>
      <c r="I81" s="11" t="n">
        <v>136</v>
      </c>
      <c r="J81" s="11" t="n">
        <v>145</v>
      </c>
      <c r="K81" s="11" t="n">
        <v>0</v>
      </c>
      <c r="L81" s="11" t="n">
        <v>26</v>
      </c>
      <c r="M81" s="12" t="n">
        <v>177.9</v>
      </c>
      <c r="N81" s="12" t="n">
        <v>4.86</v>
      </c>
      <c r="O81" s="9" t="n">
        <f aca="false">IFERROR(D81/G81/(Parameters!$B$8/Parameters!$B$9),0)</f>
        <v>182.093460072791</v>
      </c>
      <c r="P81" s="9" t="n">
        <f aca="false">IFERROR(G81/E81,0)</f>
        <v>2.00582595870207</v>
      </c>
      <c r="Q81" s="13" t="n">
        <f aca="false">G81*H81</f>
        <v>14891.4525</v>
      </c>
      <c r="R81" s="15" t="n">
        <f aca="false">100*I81/Parameters!$B$8</f>
        <v>18.6046511627907</v>
      </c>
      <c r="S81" s="15" t="n">
        <f aca="false">100*J81/Parameters!$B$8</f>
        <v>19.8358413132695</v>
      </c>
      <c r="T81" s="14" t="str">
        <f aca="false">IF(OR(R81&lt;Parameters!$B$16,R81&gt;Parameters!$B$17),"YES","no - within noise")</f>
        <v>no - within noise</v>
      </c>
      <c r="U81" s="14" t="str">
        <f aca="false">IF(OR(S81&lt;Parameters!$B$19,S81&gt;Parameters!$B$20),"YES","no - within noise")</f>
        <v>no - within noise</v>
      </c>
      <c r="V81" s="14" t="str">
        <f aca="false">IF(AND(T81="YES",R81&gt;Parameters!$B$17),"Watch - stockout",IF(AND(U81="YES",S81&gt;Parameters!$B$20),"Watch - excess capital","Routine"))</f>
        <v>Routine</v>
      </c>
    </row>
    <row r="82" customFormat="false" ht="15" hidden="false" customHeight="false" outlineLevel="0" collapsed="false">
      <c r="A82" s="10" t="s">
        <v>185</v>
      </c>
      <c r="B82" s="10" t="s">
        <v>168</v>
      </c>
      <c r="C82" s="10" t="s">
        <v>120</v>
      </c>
      <c r="D82" s="11" t="n">
        <v>94023</v>
      </c>
      <c r="E82" s="12" t="n">
        <v>128.62</v>
      </c>
      <c r="F82" s="12" t="n">
        <v>103.72</v>
      </c>
      <c r="G82" s="12" t="n">
        <v>267.56</v>
      </c>
      <c r="H82" s="12" t="n">
        <v>54.65</v>
      </c>
      <c r="I82" s="11" t="n">
        <v>135</v>
      </c>
      <c r="J82" s="11" t="n">
        <v>149</v>
      </c>
      <c r="K82" s="11" t="n">
        <v>3</v>
      </c>
      <c r="L82" s="11" t="n">
        <v>22</v>
      </c>
      <c r="M82" s="12" t="n">
        <v>114.8</v>
      </c>
      <c r="N82" s="12" t="n">
        <v>5.69</v>
      </c>
      <c r="O82" s="9" t="n">
        <f aca="false">IFERROR(D82/G82/(Parameters!$B$8/Parameters!$B$9),0)</f>
        <v>175.584333948441</v>
      </c>
      <c r="P82" s="9" t="n">
        <f aca="false">IFERROR(G82/E82,0)</f>
        <v>2.08023635515472</v>
      </c>
      <c r="Q82" s="13" t="n">
        <f aca="false">G82*H82</f>
        <v>14622.154</v>
      </c>
      <c r="R82" s="15" t="n">
        <f aca="false">100*I82/Parameters!$B$8</f>
        <v>18.4678522571819</v>
      </c>
      <c r="S82" s="15" t="n">
        <f aca="false">100*J82/Parameters!$B$8</f>
        <v>20.3830369357045</v>
      </c>
      <c r="T82" s="14" t="str">
        <f aca="false">IF(OR(R82&lt;Parameters!$B$16,R82&gt;Parameters!$B$17),"YES","no - within noise")</f>
        <v>no - within noise</v>
      </c>
      <c r="U82" s="14" t="str">
        <f aca="false">IF(OR(S82&lt;Parameters!$B$19,S82&gt;Parameters!$B$20),"YES","no - within noise")</f>
        <v>no - within noise</v>
      </c>
      <c r="V82" s="14" t="str">
        <f aca="false">IF(AND(T82="YES",R82&gt;Parameters!$B$17),"Watch - stockout",IF(AND(U82="YES",S82&gt;Parameters!$B$20),"Watch - excess capital","Routine"))</f>
        <v>Routine</v>
      </c>
    </row>
    <row r="83" customFormat="false" ht="15" hidden="false" customHeight="false" outlineLevel="0" collapsed="false">
      <c r="A83" s="10" t="s">
        <v>186</v>
      </c>
      <c r="B83" s="10" t="s">
        <v>168</v>
      </c>
      <c r="C83" s="10" t="s">
        <v>122</v>
      </c>
      <c r="D83" s="11" t="n">
        <v>99798</v>
      </c>
      <c r="E83" s="12" t="n">
        <v>136.52</v>
      </c>
      <c r="F83" s="12" t="n">
        <v>110.57</v>
      </c>
      <c r="G83" s="12" t="n">
        <v>272.49</v>
      </c>
      <c r="H83" s="12" t="n">
        <v>55.93</v>
      </c>
      <c r="I83" s="11" t="n">
        <v>140</v>
      </c>
      <c r="J83" s="11" t="n">
        <v>129</v>
      </c>
      <c r="K83" s="11" t="n">
        <v>2</v>
      </c>
      <c r="L83" s="11" t="n">
        <v>25</v>
      </c>
      <c r="M83" s="12" t="n">
        <v>144.8</v>
      </c>
      <c r="N83" s="12" t="n">
        <v>4.91</v>
      </c>
      <c r="O83" s="9" t="n">
        <f aca="false">IFERROR(D83/G83/(Parameters!$B$8/Parameters!$B$9),0)</f>
        <v>182.997061752891</v>
      </c>
      <c r="P83" s="9" t="n">
        <f aca="false">IFERROR(G83/E83,0)</f>
        <v>1.99597128625842</v>
      </c>
      <c r="Q83" s="13" t="n">
        <f aca="false">G83*H83</f>
        <v>15240.3657</v>
      </c>
      <c r="R83" s="15" t="n">
        <f aca="false">100*I83/Parameters!$B$8</f>
        <v>19.1518467852257</v>
      </c>
      <c r="S83" s="15" t="n">
        <f aca="false">100*J83/Parameters!$B$8</f>
        <v>17.6470588235294</v>
      </c>
      <c r="T83" s="14" t="str">
        <f aca="false">IF(OR(R83&lt;Parameters!$B$16,R83&gt;Parameters!$B$17),"YES","no - within noise")</f>
        <v>no - within noise</v>
      </c>
      <c r="U83" s="14" t="str">
        <f aca="false">IF(OR(S83&lt;Parameters!$B$19,S83&gt;Parameters!$B$20),"YES","no - within noise")</f>
        <v>no - within noise</v>
      </c>
      <c r="V83" s="14" t="str">
        <f aca="false">IF(AND(T83="YES",R83&gt;Parameters!$B$17),"Watch - stockout",IF(AND(U83="YES",S83&gt;Parameters!$B$20),"Watch - excess capital","Routine"))</f>
        <v>Routine</v>
      </c>
    </row>
    <row r="84" customFormat="false" ht="15" hidden="false" customHeight="false" outlineLevel="0" collapsed="false">
      <c r="A84" s="10" t="s">
        <v>187</v>
      </c>
      <c r="B84" s="10" t="s">
        <v>168</v>
      </c>
      <c r="C84" s="10" t="s">
        <v>124</v>
      </c>
      <c r="D84" s="11" t="n">
        <v>99299</v>
      </c>
      <c r="E84" s="12" t="n">
        <v>135.84</v>
      </c>
      <c r="F84" s="12" t="n">
        <v>106.72</v>
      </c>
      <c r="G84" s="12" t="n">
        <v>275.11</v>
      </c>
      <c r="H84" s="12" t="n">
        <v>53.71</v>
      </c>
      <c r="I84" s="11" t="n">
        <v>135</v>
      </c>
      <c r="J84" s="11" t="n">
        <v>150</v>
      </c>
      <c r="K84" s="11" t="n">
        <v>3</v>
      </c>
      <c r="L84" s="11" t="n">
        <v>30</v>
      </c>
      <c r="M84" s="12" t="n">
        <v>209.8</v>
      </c>
      <c r="N84" s="12" t="n">
        <v>4.34</v>
      </c>
      <c r="O84" s="9" t="n">
        <f aca="false">IFERROR(D84/G84/(Parameters!$B$8/Parameters!$B$9),0)</f>
        <v>180.34800630177</v>
      </c>
      <c r="P84" s="9" t="n">
        <f aca="false">IFERROR(G84/E84,0)</f>
        <v>2.02525029446408</v>
      </c>
      <c r="Q84" s="13" t="n">
        <f aca="false">G84*H84</f>
        <v>14776.1581</v>
      </c>
      <c r="R84" s="15" t="n">
        <f aca="false">100*I84/Parameters!$B$8</f>
        <v>18.4678522571819</v>
      </c>
      <c r="S84" s="15" t="n">
        <f aca="false">100*J84/Parameters!$B$8</f>
        <v>20.5198358413133</v>
      </c>
      <c r="T84" s="14" t="str">
        <f aca="false">IF(OR(R84&lt;Parameters!$B$16,R84&gt;Parameters!$B$17),"YES","no - within noise")</f>
        <v>no - within noise</v>
      </c>
      <c r="U84" s="14" t="str">
        <f aca="false">IF(OR(S84&lt;Parameters!$B$19,S84&gt;Parameters!$B$20),"YES","no - within noise")</f>
        <v>no - within noise</v>
      </c>
      <c r="V84" s="14" t="str">
        <f aca="false">IF(AND(T84="YES",R84&gt;Parameters!$B$17),"Watch - stockout",IF(AND(U84="YES",S84&gt;Parameters!$B$20),"Watch - excess capital","Routine"))</f>
        <v>Routine</v>
      </c>
    </row>
    <row r="85" customFormat="false" ht="15" hidden="false" customHeight="false" outlineLevel="0" collapsed="false">
      <c r="A85" s="10" t="s">
        <v>188</v>
      </c>
      <c r="B85" s="10" t="s">
        <v>189</v>
      </c>
      <c r="C85" s="10" t="s">
        <v>86</v>
      </c>
      <c r="D85" s="11" t="n">
        <v>95801</v>
      </c>
      <c r="E85" s="12" t="n">
        <v>131.05</v>
      </c>
      <c r="F85" s="12" t="n">
        <v>106.91</v>
      </c>
      <c r="G85" s="12" t="n">
        <v>268.33</v>
      </c>
      <c r="H85" s="12" t="n">
        <v>53.29</v>
      </c>
      <c r="I85" s="11" t="n">
        <v>139</v>
      </c>
      <c r="J85" s="11" t="n">
        <v>152</v>
      </c>
      <c r="K85" s="11" t="n">
        <v>5</v>
      </c>
      <c r="L85" s="11" t="n">
        <v>23</v>
      </c>
      <c r="M85" s="12" t="n">
        <v>177.4</v>
      </c>
      <c r="N85" s="12" t="n">
        <v>5.21</v>
      </c>
      <c r="O85" s="9" t="n">
        <f aca="false">IFERROR(D85/G85/(Parameters!$B$8/Parameters!$B$9),0)</f>
        <v>178.391295494762</v>
      </c>
      <c r="P85" s="9" t="n">
        <f aca="false">IFERROR(G85/E85,0)</f>
        <v>2.04753910721099</v>
      </c>
      <c r="Q85" s="13" t="n">
        <f aca="false">G85*H85</f>
        <v>14299.3057</v>
      </c>
      <c r="R85" s="15" t="n">
        <f aca="false">100*I85/Parameters!$B$8</f>
        <v>19.015047879617</v>
      </c>
      <c r="S85" s="15" t="n">
        <f aca="false">100*J85/Parameters!$B$8</f>
        <v>20.7934336525308</v>
      </c>
      <c r="T85" s="14" t="str">
        <f aca="false">IF(OR(R85&lt;Parameters!$B$16,R85&gt;Parameters!$B$17),"YES","no - within noise")</f>
        <v>no - within noise</v>
      </c>
      <c r="U85" s="14" t="str">
        <f aca="false">IF(OR(S85&lt;Parameters!$B$19,S85&gt;Parameters!$B$20),"YES","no - within noise")</f>
        <v>no - within noise</v>
      </c>
      <c r="V85" s="14" t="str">
        <f aca="false">IF(AND(T85="YES",R85&gt;Parameters!$B$17),"Watch - stockout",IF(AND(U85="YES",S85&gt;Parameters!$B$20),"Watch - excess capital","Routine"))</f>
        <v>Routine</v>
      </c>
    </row>
    <row r="86" customFormat="false" ht="15" hidden="false" customHeight="false" outlineLevel="0" collapsed="false">
      <c r="A86" s="10" t="s">
        <v>190</v>
      </c>
      <c r="B86" s="10" t="s">
        <v>189</v>
      </c>
      <c r="C86" s="10" t="s">
        <v>88</v>
      </c>
      <c r="D86" s="11" t="n">
        <v>98187</v>
      </c>
      <c r="E86" s="12" t="n">
        <v>134.32</v>
      </c>
      <c r="F86" s="12" t="n">
        <v>105.81</v>
      </c>
      <c r="G86" s="12" t="n">
        <v>264.98</v>
      </c>
      <c r="H86" s="12" t="n">
        <v>54.83</v>
      </c>
      <c r="I86" s="11" t="n">
        <v>144</v>
      </c>
      <c r="J86" s="11" t="n">
        <v>127</v>
      </c>
      <c r="K86" s="11" t="n">
        <v>6</v>
      </c>
      <c r="L86" s="11" t="n">
        <v>30</v>
      </c>
      <c r="M86" s="12" t="n">
        <v>209</v>
      </c>
      <c r="N86" s="12" t="n">
        <v>4.63</v>
      </c>
      <c r="O86" s="9" t="n">
        <f aca="false">IFERROR(D86/G86/(Parameters!$B$8/Parameters!$B$9),0)</f>
        <v>185.14574803622</v>
      </c>
      <c r="P86" s="9" t="n">
        <f aca="false">IFERROR(G86/E86,0)</f>
        <v>1.97275163787969</v>
      </c>
      <c r="Q86" s="13" t="n">
        <f aca="false">G86*H86</f>
        <v>14528.8534</v>
      </c>
      <c r="R86" s="15" t="n">
        <f aca="false">100*I86/Parameters!$B$8</f>
        <v>19.6990424076607</v>
      </c>
      <c r="S86" s="15" t="n">
        <f aca="false">100*J86/Parameters!$B$8</f>
        <v>17.3734610123119</v>
      </c>
      <c r="T86" s="14" t="str">
        <f aca="false">IF(OR(R86&lt;Parameters!$B$16,R86&gt;Parameters!$B$17),"YES","no - within noise")</f>
        <v>no - within noise</v>
      </c>
      <c r="U86" s="14" t="str">
        <f aca="false">IF(OR(S86&lt;Parameters!$B$19,S86&gt;Parameters!$B$20),"YES","no - within noise")</f>
        <v>no - within noise</v>
      </c>
      <c r="V86" s="14" t="str">
        <f aca="false">IF(AND(T86="YES",R86&gt;Parameters!$B$17),"Watch - stockout",IF(AND(U86="YES",S86&gt;Parameters!$B$20),"Watch - excess capital","Routine"))</f>
        <v>Routine</v>
      </c>
    </row>
    <row r="87" customFormat="false" ht="15" hidden="false" customHeight="false" outlineLevel="0" collapsed="false">
      <c r="A87" s="10" t="s">
        <v>191</v>
      </c>
      <c r="B87" s="10" t="s">
        <v>189</v>
      </c>
      <c r="C87" s="10" t="s">
        <v>90</v>
      </c>
      <c r="D87" s="11" t="n">
        <v>105667</v>
      </c>
      <c r="E87" s="12" t="n">
        <v>144.55</v>
      </c>
      <c r="F87" s="12" t="n">
        <v>111.93</v>
      </c>
      <c r="G87" s="12" t="n">
        <v>283.99</v>
      </c>
      <c r="H87" s="12" t="n">
        <v>54.96</v>
      </c>
      <c r="I87" s="11" t="n">
        <v>139</v>
      </c>
      <c r="J87" s="11" t="n">
        <v>116</v>
      </c>
      <c r="K87" s="11" t="n">
        <v>1</v>
      </c>
      <c r="L87" s="11" t="n">
        <v>25</v>
      </c>
      <c r="M87" s="12" t="n">
        <v>137.1</v>
      </c>
      <c r="N87" s="12" t="n">
        <v>5.41</v>
      </c>
      <c r="O87" s="9" t="n">
        <f aca="false">IFERROR(D87/G87/(Parameters!$B$8/Parameters!$B$9),0)</f>
        <v>185.91275106554</v>
      </c>
      <c r="P87" s="9" t="n">
        <f aca="false">IFERROR(G87/E87,0)</f>
        <v>1.96464891041162</v>
      </c>
      <c r="Q87" s="13" t="n">
        <f aca="false">G87*H87</f>
        <v>15608.0904</v>
      </c>
      <c r="R87" s="15" t="n">
        <f aca="false">100*I87/Parameters!$B$8</f>
        <v>19.015047879617</v>
      </c>
      <c r="S87" s="15" t="n">
        <f aca="false">100*J87/Parameters!$B$8</f>
        <v>15.8686730506156</v>
      </c>
      <c r="T87" s="14" t="str">
        <f aca="false">IF(OR(R87&lt;Parameters!$B$16,R87&gt;Parameters!$B$17),"YES","no - within noise")</f>
        <v>no - within noise</v>
      </c>
      <c r="U87" s="14" t="str">
        <f aca="false">IF(OR(S87&lt;Parameters!$B$19,S87&gt;Parameters!$B$20),"YES","no - within noise")</f>
        <v>no - within noise</v>
      </c>
      <c r="V87" s="14" t="str">
        <f aca="false">IF(AND(T87="YES",R87&gt;Parameters!$B$17),"Watch - stockout",IF(AND(U87="YES",S87&gt;Parameters!$B$20),"Watch - excess capital","Routine"))</f>
        <v>Routine</v>
      </c>
    </row>
    <row r="88" customFormat="false" ht="15" hidden="false" customHeight="false" outlineLevel="0" collapsed="false">
      <c r="A88" s="10" t="s">
        <v>192</v>
      </c>
      <c r="B88" s="10" t="s">
        <v>189</v>
      </c>
      <c r="C88" s="10" t="s">
        <v>92</v>
      </c>
      <c r="D88" s="11" t="n">
        <v>98836</v>
      </c>
      <c r="E88" s="12" t="n">
        <v>135.21</v>
      </c>
      <c r="F88" s="12" t="n">
        <v>111.78</v>
      </c>
      <c r="G88" s="12" t="n">
        <v>269.7</v>
      </c>
      <c r="H88" s="12" t="n">
        <v>55.75</v>
      </c>
      <c r="I88" s="11" t="n">
        <v>143</v>
      </c>
      <c r="J88" s="11" t="n">
        <v>142</v>
      </c>
      <c r="K88" s="11" t="n">
        <v>2</v>
      </c>
      <c r="L88" s="11" t="n">
        <v>25</v>
      </c>
      <c r="M88" s="12" t="n">
        <v>101.7</v>
      </c>
      <c r="N88" s="12" t="n">
        <v>4.83</v>
      </c>
      <c r="O88" s="9" t="n">
        <f aca="false">IFERROR(D88/G88/(Parameters!$B$8/Parameters!$B$9),0)</f>
        <v>183.107891577357</v>
      </c>
      <c r="P88" s="9" t="n">
        <f aca="false">IFERROR(G88/E88,0)</f>
        <v>1.99467495007766</v>
      </c>
      <c r="Q88" s="13" t="n">
        <f aca="false">G88*H88</f>
        <v>15035.775</v>
      </c>
      <c r="R88" s="15" t="n">
        <f aca="false">100*I88/Parameters!$B$8</f>
        <v>19.562243502052</v>
      </c>
      <c r="S88" s="15" t="n">
        <f aca="false">100*J88/Parameters!$B$8</f>
        <v>19.4254445964432</v>
      </c>
      <c r="T88" s="14" t="str">
        <f aca="false">IF(OR(R88&lt;Parameters!$B$16,R88&gt;Parameters!$B$17),"YES","no - within noise")</f>
        <v>no - within noise</v>
      </c>
      <c r="U88" s="14" t="str">
        <f aca="false">IF(OR(S88&lt;Parameters!$B$19,S88&gt;Parameters!$B$20),"YES","no - within noise")</f>
        <v>no - within noise</v>
      </c>
      <c r="V88" s="14" t="str">
        <f aca="false">IF(AND(T88="YES",R88&gt;Parameters!$B$17),"Watch - stockout",IF(AND(U88="YES",S88&gt;Parameters!$B$20),"Watch - excess capital","Routine"))</f>
        <v>Routine</v>
      </c>
    </row>
    <row r="89" customFormat="false" ht="15" hidden="false" customHeight="false" outlineLevel="0" collapsed="false">
      <c r="A89" s="10" t="s">
        <v>193</v>
      </c>
      <c r="B89" s="10" t="s">
        <v>189</v>
      </c>
      <c r="C89" s="10" t="s">
        <v>94</v>
      </c>
      <c r="D89" s="11" t="n">
        <v>103703</v>
      </c>
      <c r="E89" s="12" t="n">
        <v>141.86</v>
      </c>
      <c r="F89" s="12" t="n">
        <v>105.77</v>
      </c>
      <c r="G89" s="12" t="n">
        <v>276.78</v>
      </c>
      <c r="H89" s="12" t="n">
        <v>54.12</v>
      </c>
      <c r="I89" s="11" t="n">
        <v>140</v>
      </c>
      <c r="J89" s="11" t="n">
        <v>126</v>
      </c>
      <c r="K89" s="11" t="n">
        <v>2</v>
      </c>
      <c r="L89" s="11" t="n">
        <v>29</v>
      </c>
      <c r="M89" s="12" t="n">
        <v>208.9</v>
      </c>
      <c r="N89" s="12" t="n">
        <v>4.71</v>
      </c>
      <c r="O89" s="9" t="n">
        <f aca="false">IFERROR(D89/G89/(Parameters!$B$8/Parameters!$B$9),0)</f>
        <v>187.210180857465</v>
      </c>
      <c r="P89" s="9" t="n">
        <f aca="false">IFERROR(G89/E89,0)</f>
        <v>1.95107852812632</v>
      </c>
      <c r="Q89" s="13" t="n">
        <f aca="false">G89*H89</f>
        <v>14979.3336</v>
      </c>
      <c r="R89" s="15" t="n">
        <f aca="false">100*I89/Parameters!$B$8</f>
        <v>19.1518467852257</v>
      </c>
      <c r="S89" s="15" t="n">
        <f aca="false">100*J89/Parameters!$B$8</f>
        <v>17.2366621067031</v>
      </c>
      <c r="T89" s="14" t="str">
        <f aca="false">IF(OR(R89&lt;Parameters!$B$16,R89&gt;Parameters!$B$17),"YES","no - within noise")</f>
        <v>no - within noise</v>
      </c>
      <c r="U89" s="14" t="str">
        <f aca="false">IF(OR(S89&lt;Parameters!$B$19,S89&gt;Parameters!$B$20),"YES","no - within noise")</f>
        <v>no - within noise</v>
      </c>
      <c r="V89" s="14" t="str">
        <f aca="false">IF(AND(T89="YES",R89&gt;Parameters!$B$17),"Watch - stockout",IF(AND(U89="YES",S89&gt;Parameters!$B$20),"Watch - excess capital","Routine"))</f>
        <v>Routine</v>
      </c>
    </row>
    <row r="90" customFormat="false" ht="15" hidden="false" customHeight="false" outlineLevel="0" collapsed="false">
      <c r="A90" s="10" t="s">
        <v>194</v>
      </c>
      <c r="B90" s="10" t="s">
        <v>189</v>
      </c>
      <c r="C90" s="10" t="s">
        <v>96</v>
      </c>
      <c r="D90" s="11" t="n">
        <v>98871</v>
      </c>
      <c r="E90" s="12" t="n">
        <v>135.25</v>
      </c>
      <c r="F90" s="12" t="n">
        <v>107.18</v>
      </c>
      <c r="G90" s="12" t="n">
        <v>273.36</v>
      </c>
      <c r="H90" s="12" t="n">
        <v>55.93</v>
      </c>
      <c r="I90" s="11" t="n">
        <v>132</v>
      </c>
      <c r="J90" s="11" t="n">
        <v>144</v>
      </c>
      <c r="K90" s="11" t="n">
        <v>3</v>
      </c>
      <c r="L90" s="11" t="n">
        <v>20</v>
      </c>
      <c r="M90" s="12" t="n">
        <v>116.4</v>
      </c>
      <c r="N90" s="12" t="n">
        <v>5.6</v>
      </c>
      <c r="O90" s="9" t="n">
        <f aca="false">IFERROR(D90/G90/(Parameters!$B$8/Parameters!$B$9),0)</f>
        <v>180.720245787639</v>
      </c>
      <c r="P90" s="9" t="n">
        <f aca="false">IFERROR(G90/E90,0)</f>
        <v>2.021146025878</v>
      </c>
      <c r="Q90" s="13" t="n">
        <f aca="false">G90*H90</f>
        <v>15289.0248</v>
      </c>
      <c r="R90" s="15" t="n">
        <f aca="false">100*I90/Parameters!$B$8</f>
        <v>18.0574555403557</v>
      </c>
      <c r="S90" s="15" t="n">
        <f aca="false">100*J90/Parameters!$B$8</f>
        <v>19.6990424076607</v>
      </c>
      <c r="T90" s="14" t="str">
        <f aca="false">IF(OR(R90&lt;Parameters!$B$16,R90&gt;Parameters!$B$17),"YES","no - within noise")</f>
        <v>no - within noise</v>
      </c>
      <c r="U90" s="14" t="str">
        <f aca="false">IF(OR(S90&lt;Parameters!$B$19,S90&gt;Parameters!$B$20),"YES","no - within noise")</f>
        <v>no - within noise</v>
      </c>
      <c r="V90" s="14" t="str">
        <f aca="false">IF(AND(T90="YES",R90&gt;Parameters!$B$17),"Watch - stockout",IF(AND(U90="YES",S90&gt;Parameters!$B$20),"Watch - excess capital","Routine"))</f>
        <v>Routine</v>
      </c>
    </row>
    <row r="91" customFormat="false" ht="15" hidden="false" customHeight="false" outlineLevel="0" collapsed="false">
      <c r="A91" s="10" t="s">
        <v>195</v>
      </c>
      <c r="B91" s="10" t="s">
        <v>189</v>
      </c>
      <c r="C91" s="10" t="s">
        <v>98</v>
      </c>
      <c r="D91" s="11" t="n">
        <v>101198</v>
      </c>
      <c r="E91" s="12" t="n">
        <v>138.44</v>
      </c>
      <c r="F91" s="12" t="n">
        <v>111.88</v>
      </c>
      <c r="G91" s="12" t="n">
        <v>278.19</v>
      </c>
      <c r="H91" s="12" t="n">
        <v>54.06</v>
      </c>
      <c r="I91" s="11" t="n">
        <v>137</v>
      </c>
      <c r="J91" s="11" t="n">
        <v>134</v>
      </c>
      <c r="K91" s="11" t="n">
        <v>5</v>
      </c>
      <c r="L91" s="11" t="n">
        <v>26</v>
      </c>
      <c r="M91" s="12" t="n">
        <v>208.2</v>
      </c>
      <c r="N91" s="12" t="n">
        <v>5.44</v>
      </c>
      <c r="O91" s="9" t="n">
        <f aca="false">IFERROR(D91/G91/(Parameters!$B$8/Parameters!$B$9),0)</f>
        <v>181.762071105631</v>
      </c>
      <c r="P91" s="9" t="n">
        <f aca="false">IFERROR(G91/E91,0)</f>
        <v>2.00946258306848</v>
      </c>
      <c r="Q91" s="13" t="n">
        <f aca="false">G91*H91</f>
        <v>15038.9514</v>
      </c>
      <c r="R91" s="15" t="n">
        <f aca="false">100*I91/Parameters!$B$8</f>
        <v>18.7414500683995</v>
      </c>
      <c r="S91" s="15" t="n">
        <f aca="false">100*J91/Parameters!$B$8</f>
        <v>18.3310533515732</v>
      </c>
      <c r="T91" s="14" t="str">
        <f aca="false">IF(OR(R91&lt;Parameters!$B$16,R91&gt;Parameters!$B$17),"YES","no - within noise")</f>
        <v>no - within noise</v>
      </c>
      <c r="U91" s="14" t="str">
        <f aca="false">IF(OR(S91&lt;Parameters!$B$19,S91&gt;Parameters!$B$20),"YES","no - within noise")</f>
        <v>no - within noise</v>
      </c>
      <c r="V91" s="14" t="str">
        <f aca="false">IF(AND(T91="YES",R91&gt;Parameters!$B$17),"Watch - stockout",IF(AND(U91="YES",S91&gt;Parameters!$B$20),"Watch - excess capital","Routine"))</f>
        <v>Routine</v>
      </c>
    </row>
    <row r="92" customFormat="false" ht="15" hidden="false" customHeight="false" outlineLevel="0" collapsed="false">
      <c r="A92" s="10" t="s">
        <v>196</v>
      </c>
      <c r="B92" s="10" t="s">
        <v>189</v>
      </c>
      <c r="C92" s="10" t="s">
        <v>100</v>
      </c>
      <c r="D92" s="11" t="n">
        <v>97859</v>
      </c>
      <c r="E92" s="12" t="n">
        <v>133.87</v>
      </c>
      <c r="F92" s="12" t="n">
        <v>111.2</v>
      </c>
      <c r="G92" s="12" t="n">
        <v>274.71</v>
      </c>
      <c r="H92" s="12" t="n">
        <v>55.54</v>
      </c>
      <c r="I92" s="11" t="n">
        <v>132</v>
      </c>
      <c r="J92" s="11" t="n">
        <v>153</v>
      </c>
      <c r="K92" s="11" t="n">
        <v>4</v>
      </c>
      <c r="L92" s="11" t="n">
        <v>20</v>
      </c>
      <c r="M92" s="12" t="n">
        <v>138.2</v>
      </c>
      <c r="N92" s="12" t="n">
        <v>5.22</v>
      </c>
      <c r="O92" s="9" t="n">
        <f aca="false">IFERROR(D92/G92/(Parameters!$B$8/Parameters!$B$9),0)</f>
        <v>177.991454587529</v>
      </c>
      <c r="P92" s="9" t="n">
        <f aca="false">IFERROR(G92/E92,0)</f>
        <v>2.05206543661761</v>
      </c>
      <c r="Q92" s="13" t="n">
        <f aca="false">G92*H92</f>
        <v>15257.3934</v>
      </c>
      <c r="R92" s="15" t="n">
        <f aca="false">100*I92/Parameters!$B$8</f>
        <v>18.0574555403557</v>
      </c>
      <c r="S92" s="15" t="n">
        <f aca="false">100*J92/Parameters!$B$8</f>
        <v>20.9302325581395</v>
      </c>
      <c r="T92" s="14" t="str">
        <f aca="false">IF(OR(R92&lt;Parameters!$B$16,R92&gt;Parameters!$B$17),"YES","no - within noise")</f>
        <v>no - within noise</v>
      </c>
      <c r="U92" s="14" t="str">
        <f aca="false">IF(OR(S92&lt;Parameters!$B$19,S92&gt;Parameters!$B$20),"YES","no - within noise")</f>
        <v>no - within noise</v>
      </c>
      <c r="V92" s="14" t="str">
        <f aca="false">IF(AND(T92="YES",R92&gt;Parameters!$B$17),"Watch - stockout",IF(AND(U92="YES",S92&gt;Parameters!$B$20),"Watch - excess capital","Routine"))</f>
        <v>Routine</v>
      </c>
    </row>
    <row r="93" customFormat="false" ht="15" hidden="false" customHeight="false" outlineLevel="0" collapsed="false">
      <c r="A93" s="10" t="s">
        <v>197</v>
      </c>
      <c r="B93" s="10" t="s">
        <v>189</v>
      </c>
      <c r="C93" s="10" t="s">
        <v>102</v>
      </c>
      <c r="D93" s="11" t="n">
        <v>99558</v>
      </c>
      <c r="E93" s="12" t="n">
        <v>136.19</v>
      </c>
      <c r="F93" s="12" t="n">
        <v>107.78</v>
      </c>
      <c r="G93" s="12" t="n">
        <v>272.26</v>
      </c>
      <c r="H93" s="12" t="n">
        <v>55.02</v>
      </c>
      <c r="I93" s="11" t="n">
        <v>148</v>
      </c>
      <c r="J93" s="11" t="n">
        <v>133</v>
      </c>
      <c r="K93" s="11" t="n">
        <v>2</v>
      </c>
      <c r="L93" s="11" t="n">
        <v>29</v>
      </c>
      <c r="M93" s="12" t="n">
        <v>162.5</v>
      </c>
      <c r="N93" s="12" t="n">
        <v>5.17</v>
      </c>
      <c r="O93" s="9" t="n">
        <f aca="false">IFERROR(D93/G93/(Parameters!$B$8/Parameters!$B$9),0)</f>
        <v>182.711200456874</v>
      </c>
      <c r="P93" s="9" t="n">
        <f aca="false">IFERROR(G93/E93,0)</f>
        <v>1.99911887803804</v>
      </c>
      <c r="Q93" s="13" t="n">
        <f aca="false">G93*H93</f>
        <v>14979.7452</v>
      </c>
      <c r="R93" s="15" t="n">
        <f aca="false">100*I93/Parameters!$B$8</f>
        <v>20.2462380300958</v>
      </c>
      <c r="S93" s="15" t="n">
        <f aca="false">100*J93/Parameters!$B$8</f>
        <v>18.1942544459644</v>
      </c>
      <c r="T93" s="14" t="str">
        <f aca="false">IF(OR(R93&lt;Parameters!$B$16,R93&gt;Parameters!$B$17),"YES","no - within noise")</f>
        <v>no - within noise</v>
      </c>
      <c r="U93" s="14" t="str">
        <f aca="false">IF(OR(S93&lt;Parameters!$B$19,S93&gt;Parameters!$B$20),"YES","no - within noise")</f>
        <v>no - within noise</v>
      </c>
      <c r="V93" s="14" t="str">
        <f aca="false">IF(AND(T93="YES",R93&gt;Parameters!$B$17),"Watch - stockout",IF(AND(U93="YES",S93&gt;Parameters!$B$20),"Watch - excess capital","Routine"))</f>
        <v>Routine</v>
      </c>
    </row>
    <row r="94" customFormat="false" ht="15" hidden="false" customHeight="false" outlineLevel="0" collapsed="false">
      <c r="A94" s="10" t="s">
        <v>198</v>
      </c>
      <c r="B94" s="10" t="s">
        <v>189</v>
      </c>
      <c r="C94" s="10" t="s">
        <v>104</v>
      </c>
      <c r="D94" s="11" t="n">
        <v>100551</v>
      </c>
      <c r="E94" s="12" t="n">
        <v>137.55</v>
      </c>
      <c r="F94" s="12" t="n">
        <v>109.46</v>
      </c>
      <c r="G94" s="12" t="n">
        <v>281.5</v>
      </c>
      <c r="H94" s="12" t="n">
        <v>55.54</v>
      </c>
      <c r="I94" s="11" t="n">
        <v>140</v>
      </c>
      <c r="J94" s="11" t="n">
        <v>149</v>
      </c>
      <c r="K94" s="11" t="n">
        <v>5</v>
      </c>
      <c r="L94" s="11" t="n">
        <v>27</v>
      </c>
      <c r="M94" s="12" t="n">
        <v>210.3</v>
      </c>
      <c r="N94" s="12" t="n">
        <v>5.22</v>
      </c>
      <c r="O94" s="9" t="n">
        <f aca="false">IFERROR(D94/G94/(Parameters!$B$8/Parameters!$B$9),0)</f>
        <v>178.476418590072</v>
      </c>
      <c r="P94" s="9" t="n">
        <f aca="false">IFERROR(G94/E94,0)</f>
        <v>2.04652853507815</v>
      </c>
      <c r="Q94" s="13" t="n">
        <f aca="false">G94*H94</f>
        <v>15634.51</v>
      </c>
      <c r="R94" s="15" t="n">
        <f aca="false">100*I94/Parameters!$B$8</f>
        <v>19.1518467852257</v>
      </c>
      <c r="S94" s="15" t="n">
        <f aca="false">100*J94/Parameters!$B$8</f>
        <v>20.3830369357045</v>
      </c>
      <c r="T94" s="14" t="str">
        <f aca="false">IF(OR(R94&lt;Parameters!$B$16,R94&gt;Parameters!$B$17),"YES","no - within noise")</f>
        <v>no - within noise</v>
      </c>
      <c r="U94" s="14" t="str">
        <f aca="false">IF(OR(S94&lt;Parameters!$B$19,S94&gt;Parameters!$B$20),"YES","no - within noise")</f>
        <v>no - within noise</v>
      </c>
      <c r="V94" s="14" t="str">
        <f aca="false">IF(AND(T94="YES",R94&gt;Parameters!$B$17),"Watch - stockout",IF(AND(U94="YES",S94&gt;Parameters!$B$20),"Watch - excess capital","Routine"))</f>
        <v>Routine</v>
      </c>
    </row>
    <row r="95" customFormat="false" ht="15" hidden="false" customHeight="false" outlineLevel="0" collapsed="false">
      <c r="A95" s="10" t="s">
        <v>199</v>
      </c>
      <c r="B95" s="10" t="s">
        <v>189</v>
      </c>
      <c r="C95" s="10" t="s">
        <v>106</v>
      </c>
      <c r="D95" s="11" t="n">
        <v>99824</v>
      </c>
      <c r="E95" s="12" t="n">
        <v>136.56</v>
      </c>
      <c r="F95" s="12" t="n">
        <v>107.51</v>
      </c>
      <c r="G95" s="12" t="n">
        <v>279.14</v>
      </c>
      <c r="H95" s="12" t="n">
        <v>56.54</v>
      </c>
      <c r="I95" s="11" t="n">
        <v>125</v>
      </c>
      <c r="J95" s="11" t="n">
        <v>141</v>
      </c>
      <c r="K95" s="11" t="n">
        <v>4</v>
      </c>
      <c r="L95" s="11" t="n">
        <v>23</v>
      </c>
      <c r="M95" s="12" t="n">
        <v>199.6</v>
      </c>
      <c r="N95" s="12" t="n">
        <v>4.79</v>
      </c>
      <c r="O95" s="9" t="n">
        <f aca="false">IFERROR(D95/G95/(Parameters!$B$8/Parameters!$B$9),0)</f>
        <v>178.684031185485</v>
      </c>
      <c r="P95" s="9" t="n">
        <f aca="false">IFERROR(G95/E95,0)</f>
        <v>2.04408318687756</v>
      </c>
      <c r="Q95" s="13" t="n">
        <f aca="false">G95*H95</f>
        <v>15782.5756</v>
      </c>
      <c r="R95" s="15" t="n">
        <f aca="false">100*I95/Parameters!$B$8</f>
        <v>17.0998632010944</v>
      </c>
      <c r="S95" s="15" t="n">
        <f aca="false">100*J95/Parameters!$B$8</f>
        <v>19.2886456908345</v>
      </c>
      <c r="T95" s="14" t="str">
        <f aca="false">IF(OR(R95&lt;Parameters!$B$16,R95&gt;Parameters!$B$17),"YES","no - within noise")</f>
        <v>no - within noise</v>
      </c>
      <c r="U95" s="14" t="str">
        <f aca="false">IF(OR(S95&lt;Parameters!$B$19,S95&gt;Parameters!$B$20),"YES","no - within noise")</f>
        <v>no - within noise</v>
      </c>
      <c r="V95" s="14" t="str">
        <f aca="false">IF(AND(T95="YES",R95&gt;Parameters!$B$17),"Watch - stockout",IF(AND(U95="YES",S95&gt;Parameters!$B$20),"Watch - excess capital","Routine"))</f>
        <v>Routine</v>
      </c>
    </row>
    <row r="96" customFormat="false" ht="15" hidden="false" customHeight="false" outlineLevel="0" collapsed="false">
      <c r="A96" s="10" t="s">
        <v>200</v>
      </c>
      <c r="B96" s="10" t="s">
        <v>189</v>
      </c>
      <c r="C96" s="10" t="s">
        <v>108</v>
      </c>
      <c r="D96" s="11" t="n">
        <v>98432</v>
      </c>
      <c r="E96" s="12" t="n">
        <v>134.65</v>
      </c>
      <c r="F96" s="12" t="n">
        <v>108.38</v>
      </c>
      <c r="G96" s="12" t="n">
        <v>278.64</v>
      </c>
      <c r="H96" s="12" t="n">
        <v>56.56</v>
      </c>
      <c r="I96" s="11" t="n">
        <v>123</v>
      </c>
      <c r="J96" s="11" t="n">
        <v>155</v>
      </c>
      <c r="K96" s="11" t="n">
        <v>3</v>
      </c>
      <c r="L96" s="11" t="n">
        <v>28</v>
      </c>
      <c r="M96" s="12" t="n">
        <v>166.4</v>
      </c>
      <c r="N96" s="12" t="n">
        <v>5.61</v>
      </c>
      <c r="O96" s="9" t="n">
        <f aca="false">IFERROR(D96/G96/(Parameters!$B$8/Parameters!$B$9),0)</f>
        <v>176.508529017039</v>
      </c>
      <c r="P96" s="9" t="n">
        <f aca="false">IFERROR(G96/E96,0)</f>
        <v>2.06936502042332</v>
      </c>
      <c r="Q96" s="13" t="n">
        <f aca="false">G96*H96</f>
        <v>15759.8784</v>
      </c>
      <c r="R96" s="15" t="n">
        <f aca="false">100*I96/Parameters!$B$8</f>
        <v>16.8262653898769</v>
      </c>
      <c r="S96" s="15" t="n">
        <f aca="false">100*J96/Parameters!$B$8</f>
        <v>21.203830369357</v>
      </c>
      <c r="T96" s="14" t="str">
        <f aca="false">IF(OR(R96&lt;Parameters!$B$16,R96&gt;Parameters!$B$17),"YES","no - within noise")</f>
        <v>no - within noise</v>
      </c>
      <c r="U96" s="14" t="str">
        <f aca="false">IF(OR(S96&lt;Parameters!$B$19,S96&gt;Parameters!$B$20),"YES","no - within noise")</f>
        <v>no - within noise</v>
      </c>
      <c r="V96" s="14" t="str">
        <f aca="false">IF(AND(T96="YES",R96&gt;Parameters!$B$17),"Watch - stockout",IF(AND(U96="YES",S96&gt;Parameters!$B$20),"Watch - excess capital","Routine"))</f>
        <v>Routine</v>
      </c>
    </row>
    <row r="97" customFormat="false" ht="15" hidden="false" customHeight="false" outlineLevel="0" collapsed="false">
      <c r="A97" s="10" t="s">
        <v>201</v>
      </c>
      <c r="B97" s="10" t="s">
        <v>189</v>
      </c>
      <c r="C97" s="10" t="s">
        <v>110</v>
      </c>
      <c r="D97" s="11" t="n">
        <v>101844</v>
      </c>
      <c r="E97" s="12" t="n">
        <v>139.32</v>
      </c>
      <c r="F97" s="12" t="n">
        <v>107.31</v>
      </c>
      <c r="G97" s="12" t="n">
        <v>283.81</v>
      </c>
      <c r="H97" s="12" t="n">
        <v>55.52</v>
      </c>
      <c r="I97" s="11" t="n">
        <v>132</v>
      </c>
      <c r="J97" s="11" t="n">
        <v>137</v>
      </c>
      <c r="K97" s="11" t="n">
        <v>5</v>
      </c>
      <c r="L97" s="11" t="n">
        <v>36</v>
      </c>
      <c r="M97" s="12" t="n">
        <v>209.5</v>
      </c>
      <c r="N97" s="12" t="n">
        <v>5.29</v>
      </c>
      <c r="O97" s="9" t="n">
        <f aca="false">IFERROR(D97/G97/(Parameters!$B$8/Parameters!$B$9),0)</f>
        <v>179.300129067485</v>
      </c>
      <c r="P97" s="9" t="n">
        <f aca="false">IFERROR(G97/E97,0)</f>
        <v>2.0371088142406</v>
      </c>
      <c r="Q97" s="13" t="n">
        <f aca="false">G97*H97</f>
        <v>15757.1312</v>
      </c>
      <c r="R97" s="15" t="n">
        <f aca="false">100*I97/Parameters!$B$8</f>
        <v>18.0574555403557</v>
      </c>
      <c r="S97" s="15" t="n">
        <f aca="false">100*J97/Parameters!$B$8</f>
        <v>18.7414500683995</v>
      </c>
      <c r="T97" s="14" t="str">
        <f aca="false">IF(OR(R97&lt;Parameters!$B$16,R97&gt;Parameters!$B$17),"YES","no - within noise")</f>
        <v>no - within noise</v>
      </c>
      <c r="U97" s="14" t="str">
        <f aca="false">IF(OR(S97&lt;Parameters!$B$19,S97&gt;Parameters!$B$20),"YES","no - within noise")</f>
        <v>no - within noise</v>
      </c>
      <c r="V97" s="14" t="str">
        <f aca="false">IF(AND(T97="YES",R97&gt;Parameters!$B$17),"Watch - stockout",IF(AND(U97="YES",S97&gt;Parameters!$B$20),"Watch - excess capital","Routine"))</f>
        <v>Routine</v>
      </c>
    </row>
    <row r="98" customFormat="false" ht="15" hidden="false" customHeight="false" outlineLevel="0" collapsed="false">
      <c r="A98" s="10" t="s">
        <v>202</v>
      </c>
      <c r="B98" s="10" t="s">
        <v>189</v>
      </c>
      <c r="C98" s="10" t="s">
        <v>112</v>
      </c>
      <c r="D98" s="11" t="n">
        <v>100409</v>
      </c>
      <c r="E98" s="12" t="n">
        <v>137.36</v>
      </c>
      <c r="F98" s="12" t="n">
        <v>111.17</v>
      </c>
      <c r="G98" s="12" t="n">
        <v>273.18</v>
      </c>
      <c r="H98" s="12" t="n">
        <v>56.87</v>
      </c>
      <c r="I98" s="11" t="n">
        <v>143</v>
      </c>
      <c r="J98" s="11" t="n">
        <v>125</v>
      </c>
      <c r="K98" s="11" t="n">
        <v>4</v>
      </c>
      <c r="L98" s="11" t="n">
        <v>22</v>
      </c>
      <c r="M98" s="12" t="n">
        <v>129.4</v>
      </c>
      <c r="N98" s="12" t="n">
        <v>5.01</v>
      </c>
      <c r="O98" s="9" t="n">
        <f aca="false">IFERROR(D98/G98/(Parameters!$B$8/Parameters!$B$9),0)</f>
        <v>183.652391817545</v>
      </c>
      <c r="P98" s="9" t="n">
        <f aca="false">IFERROR(G98/E98,0)</f>
        <v>1.98878858474083</v>
      </c>
      <c r="Q98" s="13" t="n">
        <f aca="false">G98*H98</f>
        <v>15535.7466</v>
      </c>
      <c r="R98" s="15" t="n">
        <f aca="false">100*I98/Parameters!$B$8</f>
        <v>19.562243502052</v>
      </c>
      <c r="S98" s="15" t="n">
        <f aca="false">100*J98/Parameters!$B$8</f>
        <v>17.0998632010944</v>
      </c>
      <c r="T98" s="14" t="str">
        <f aca="false">IF(OR(R98&lt;Parameters!$B$16,R98&gt;Parameters!$B$17),"YES","no - within noise")</f>
        <v>no - within noise</v>
      </c>
      <c r="U98" s="14" t="str">
        <f aca="false">IF(OR(S98&lt;Parameters!$B$19,S98&gt;Parameters!$B$20),"YES","no - within noise")</f>
        <v>no - within noise</v>
      </c>
      <c r="V98" s="14" t="str">
        <f aca="false">IF(AND(T98="YES",R98&gt;Parameters!$B$17),"Watch - stockout",IF(AND(U98="YES",S98&gt;Parameters!$B$20),"Watch - excess capital","Routine"))</f>
        <v>Routine</v>
      </c>
    </row>
    <row r="99" customFormat="false" ht="15" hidden="false" customHeight="false" outlineLevel="0" collapsed="false">
      <c r="A99" s="10" t="s">
        <v>203</v>
      </c>
      <c r="B99" s="10" t="s">
        <v>189</v>
      </c>
      <c r="C99" s="10" t="s">
        <v>114</v>
      </c>
      <c r="D99" s="11" t="n">
        <v>109099</v>
      </c>
      <c r="E99" s="12" t="n">
        <v>149.25</v>
      </c>
      <c r="F99" s="12" t="n">
        <v>115.68</v>
      </c>
      <c r="G99" s="12" t="n">
        <v>277.91</v>
      </c>
      <c r="H99" s="12" t="n">
        <v>55.87</v>
      </c>
      <c r="I99" s="11" t="n">
        <v>156</v>
      </c>
      <c r="J99" s="11" t="n">
        <v>88</v>
      </c>
      <c r="K99" s="11" t="n">
        <v>4</v>
      </c>
      <c r="L99" s="11" t="n">
        <v>35</v>
      </c>
      <c r="M99" s="12" t="n">
        <v>164.6</v>
      </c>
      <c r="N99" s="12" t="n">
        <v>5.58</v>
      </c>
      <c r="O99" s="9" t="n">
        <f aca="false">IFERROR(D99/G99/(Parameters!$B$8/Parameters!$B$9),0)</f>
        <v>196.150510742659</v>
      </c>
      <c r="P99" s="9" t="n">
        <f aca="false">IFERROR(G99/E99,0)</f>
        <v>1.86204355108878</v>
      </c>
      <c r="Q99" s="13" t="n">
        <f aca="false">G99*H99</f>
        <v>15526.8317</v>
      </c>
      <c r="R99" s="15" t="n">
        <f aca="false">100*I99/Parameters!$B$8</f>
        <v>21.3406292749658</v>
      </c>
      <c r="S99" s="15" t="n">
        <f aca="false">100*J99/Parameters!$B$8</f>
        <v>12.0383036935705</v>
      </c>
      <c r="T99" s="14" t="str">
        <f aca="false">IF(OR(R99&lt;Parameters!$B$16,R99&gt;Parameters!$B$17),"YES","no - within noise")</f>
        <v>no - within noise</v>
      </c>
      <c r="U99" s="14" t="str">
        <f aca="false">IF(OR(S99&lt;Parameters!$B$19,S99&gt;Parameters!$B$20),"YES","no - within noise")</f>
        <v>YES</v>
      </c>
      <c r="V99" s="14" t="str">
        <f aca="false">IF(AND(T99="YES",R99&gt;Parameters!$B$17),"Watch - stockout",IF(AND(U99="YES",S99&gt;Parameters!$B$20),"Watch - excess capital","Routine"))</f>
        <v>Routine</v>
      </c>
    </row>
    <row r="100" customFormat="false" ht="15" hidden="false" customHeight="false" outlineLevel="0" collapsed="false">
      <c r="A100" s="10" t="s">
        <v>204</v>
      </c>
      <c r="B100" s="10" t="s">
        <v>189</v>
      </c>
      <c r="C100" s="10" t="s">
        <v>116</v>
      </c>
      <c r="D100" s="11" t="n">
        <v>101821</v>
      </c>
      <c r="E100" s="12" t="n">
        <v>139.29</v>
      </c>
      <c r="F100" s="12" t="n">
        <v>111.58</v>
      </c>
      <c r="G100" s="12" t="n">
        <v>278.4</v>
      </c>
      <c r="H100" s="12" t="n">
        <v>54.75</v>
      </c>
      <c r="I100" s="11" t="n">
        <v>140</v>
      </c>
      <c r="J100" s="11" t="n">
        <v>144</v>
      </c>
      <c r="K100" s="11" t="n">
        <v>3</v>
      </c>
      <c r="L100" s="11" t="n">
        <v>26</v>
      </c>
      <c r="M100" s="12" t="n">
        <v>132.6</v>
      </c>
      <c r="N100" s="12" t="n">
        <v>5.13</v>
      </c>
      <c r="O100" s="9" t="n">
        <f aca="false">IFERROR(D100/G100/(Parameters!$B$8/Parameters!$B$9),0)</f>
        <v>182.743094456106</v>
      </c>
      <c r="P100" s="9" t="n">
        <f aca="false">IFERROR(G100/E100,0)</f>
        <v>1.99870773206978</v>
      </c>
      <c r="Q100" s="13" t="n">
        <f aca="false">G100*H100</f>
        <v>15242.4</v>
      </c>
      <c r="R100" s="15" t="n">
        <f aca="false">100*I100/Parameters!$B$8</f>
        <v>19.1518467852257</v>
      </c>
      <c r="S100" s="15" t="n">
        <f aca="false">100*J100/Parameters!$B$8</f>
        <v>19.6990424076607</v>
      </c>
      <c r="T100" s="14" t="str">
        <f aca="false">IF(OR(R100&lt;Parameters!$B$16,R100&gt;Parameters!$B$17),"YES","no - within noise")</f>
        <v>no - within noise</v>
      </c>
      <c r="U100" s="14" t="str">
        <f aca="false">IF(OR(S100&lt;Parameters!$B$19,S100&gt;Parameters!$B$20),"YES","no - within noise")</f>
        <v>no - within noise</v>
      </c>
      <c r="V100" s="14" t="str">
        <f aca="false">IF(AND(T100="YES",R100&gt;Parameters!$B$17),"Watch - stockout",IF(AND(U100="YES",S100&gt;Parameters!$B$20),"Watch - excess capital","Routine"))</f>
        <v>Routine</v>
      </c>
    </row>
    <row r="101" customFormat="false" ht="15" hidden="false" customHeight="false" outlineLevel="0" collapsed="false">
      <c r="A101" s="10" t="s">
        <v>205</v>
      </c>
      <c r="B101" s="10" t="s">
        <v>189</v>
      </c>
      <c r="C101" s="10" t="s">
        <v>118</v>
      </c>
      <c r="D101" s="11" t="n">
        <v>100358</v>
      </c>
      <c r="E101" s="12" t="n">
        <v>137.29</v>
      </c>
      <c r="F101" s="12" t="n">
        <v>108.62</v>
      </c>
      <c r="G101" s="12" t="n">
        <v>282.6</v>
      </c>
      <c r="H101" s="12" t="n">
        <v>55.03</v>
      </c>
      <c r="I101" s="11" t="n">
        <v>119</v>
      </c>
      <c r="J101" s="11" t="n">
        <v>143</v>
      </c>
      <c r="K101" s="11" t="n">
        <v>3</v>
      </c>
      <c r="L101" s="11" t="n">
        <v>23</v>
      </c>
      <c r="M101" s="12" t="n">
        <v>152.8</v>
      </c>
      <c r="N101" s="12" t="n">
        <v>5.03</v>
      </c>
      <c r="O101" s="9" t="n">
        <f aca="false">IFERROR(D101/G101/(Parameters!$B$8/Parameters!$B$9),0)</f>
        <v>177.44047359723</v>
      </c>
      <c r="P101" s="9" t="n">
        <f aca="false">IFERROR(G101/E101,0)</f>
        <v>2.05841649064025</v>
      </c>
      <c r="Q101" s="13" t="n">
        <f aca="false">G101*H101</f>
        <v>15551.478</v>
      </c>
      <c r="R101" s="15" t="n">
        <f aca="false">100*I101/Parameters!$B$8</f>
        <v>16.2790697674419</v>
      </c>
      <c r="S101" s="15" t="n">
        <f aca="false">100*J101/Parameters!$B$8</f>
        <v>19.562243502052</v>
      </c>
      <c r="T101" s="14" t="str">
        <f aca="false">IF(OR(R101&lt;Parameters!$B$16,R101&gt;Parameters!$B$17),"YES","no - within noise")</f>
        <v>no - within noise</v>
      </c>
      <c r="U101" s="14" t="str">
        <f aca="false">IF(OR(S101&lt;Parameters!$B$19,S101&gt;Parameters!$B$20),"YES","no - within noise")</f>
        <v>no - within noise</v>
      </c>
      <c r="V101" s="14" t="str">
        <f aca="false">IF(AND(T101="YES",R101&gt;Parameters!$B$17),"Watch - stockout",IF(AND(U101="YES",S101&gt;Parameters!$B$20),"Watch - excess capital","Routine"))</f>
        <v>Routine</v>
      </c>
    </row>
    <row r="102" customFormat="false" ht="15" hidden="false" customHeight="false" outlineLevel="0" collapsed="false">
      <c r="A102" s="10" t="s">
        <v>206</v>
      </c>
      <c r="B102" s="10" t="s">
        <v>189</v>
      </c>
      <c r="C102" s="10" t="s">
        <v>120</v>
      </c>
      <c r="D102" s="11" t="n">
        <v>98064</v>
      </c>
      <c r="E102" s="12" t="n">
        <v>134.15</v>
      </c>
      <c r="F102" s="12" t="n">
        <v>109.8</v>
      </c>
      <c r="G102" s="12" t="n">
        <v>270.77</v>
      </c>
      <c r="H102" s="12" t="n">
        <v>55.68</v>
      </c>
      <c r="I102" s="11" t="n">
        <v>150</v>
      </c>
      <c r="J102" s="11" t="n">
        <v>147</v>
      </c>
      <c r="K102" s="11" t="n">
        <v>2</v>
      </c>
      <c r="L102" s="11" t="n">
        <v>27</v>
      </c>
      <c r="M102" s="12" t="n">
        <v>167.2</v>
      </c>
      <c r="N102" s="12" t="n">
        <v>5.3</v>
      </c>
      <c r="O102" s="9" t="n">
        <f aca="false">IFERROR(D102/G102/(Parameters!$B$8/Parameters!$B$9),0)</f>
        <v>180.95971629169</v>
      </c>
      <c r="P102" s="9" t="n">
        <f aca="false">IFERROR(G102/E102,0)</f>
        <v>2.01841222512113</v>
      </c>
      <c r="Q102" s="13" t="n">
        <f aca="false">G102*H102</f>
        <v>15076.4736</v>
      </c>
      <c r="R102" s="15" t="n">
        <f aca="false">100*I102/Parameters!$B$8</f>
        <v>20.5198358413133</v>
      </c>
      <c r="S102" s="15" t="n">
        <f aca="false">100*J102/Parameters!$B$8</f>
        <v>20.109439124487</v>
      </c>
      <c r="T102" s="14" t="str">
        <f aca="false">IF(OR(R102&lt;Parameters!$B$16,R102&gt;Parameters!$B$17),"YES","no - within noise")</f>
        <v>no - within noise</v>
      </c>
      <c r="U102" s="14" t="str">
        <f aca="false">IF(OR(S102&lt;Parameters!$B$19,S102&gt;Parameters!$B$20),"YES","no - within noise")</f>
        <v>no - within noise</v>
      </c>
      <c r="V102" s="14" t="str">
        <f aca="false">IF(AND(T102="YES",R102&gt;Parameters!$B$17),"Watch - stockout",IF(AND(U102="YES",S102&gt;Parameters!$B$20),"Watch - excess capital","Routine"))</f>
        <v>Routine</v>
      </c>
    </row>
    <row r="103" customFormat="false" ht="15" hidden="false" customHeight="false" outlineLevel="0" collapsed="false">
      <c r="A103" s="10" t="s">
        <v>207</v>
      </c>
      <c r="B103" s="10" t="s">
        <v>189</v>
      </c>
      <c r="C103" s="10" t="s">
        <v>122</v>
      </c>
      <c r="D103" s="11" t="n">
        <v>98724</v>
      </c>
      <c r="E103" s="12" t="n">
        <v>135.05</v>
      </c>
      <c r="F103" s="12" t="n">
        <v>108.66</v>
      </c>
      <c r="G103" s="12" t="n">
        <v>277.93</v>
      </c>
      <c r="H103" s="12" t="n">
        <v>56.22</v>
      </c>
      <c r="I103" s="11" t="n">
        <v>128</v>
      </c>
      <c r="J103" s="11" t="n">
        <v>147</v>
      </c>
      <c r="K103" s="11" t="n">
        <v>5</v>
      </c>
      <c r="L103" s="11" t="n">
        <v>34</v>
      </c>
      <c r="M103" s="12" t="n">
        <v>268.1</v>
      </c>
      <c r="N103" s="12" t="n">
        <v>4.7</v>
      </c>
      <c r="O103" s="9" t="n">
        <f aca="false">IFERROR(D103/G103/(Parameters!$B$8/Parameters!$B$9),0)</f>
        <v>177.48439053757</v>
      </c>
      <c r="P103" s="9" t="n">
        <f aca="false">IFERROR(G103/E103,0)</f>
        <v>2.05797852647168</v>
      </c>
      <c r="Q103" s="13" t="n">
        <f aca="false">G103*H103</f>
        <v>15625.2246</v>
      </c>
      <c r="R103" s="15" t="n">
        <f aca="false">100*I103/Parameters!$B$8</f>
        <v>17.5102599179207</v>
      </c>
      <c r="S103" s="15" t="n">
        <f aca="false">100*J103/Parameters!$B$8</f>
        <v>20.109439124487</v>
      </c>
      <c r="T103" s="14" t="str">
        <f aca="false">IF(OR(R103&lt;Parameters!$B$16,R103&gt;Parameters!$B$17),"YES","no - within noise")</f>
        <v>no - within noise</v>
      </c>
      <c r="U103" s="14" t="str">
        <f aca="false">IF(OR(S103&lt;Parameters!$B$19,S103&gt;Parameters!$B$20),"YES","no - within noise")</f>
        <v>no - within noise</v>
      </c>
      <c r="V103" s="14" t="str">
        <f aca="false">IF(AND(T103="YES",R103&gt;Parameters!$B$17),"Watch - stockout",IF(AND(U103="YES",S103&gt;Parameters!$B$20),"Watch - excess capital","Routine"))</f>
        <v>Routine</v>
      </c>
    </row>
    <row r="104" customFormat="false" ht="15" hidden="false" customHeight="false" outlineLevel="0" collapsed="false">
      <c r="A104" s="10" t="s">
        <v>208</v>
      </c>
      <c r="B104" s="10" t="s">
        <v>189</v>
      </c>
      <c r="C104" s="10" t="s">
        <v>124</v>
      </c>
      <c r="D104" s="11" t="n">
        <v>101370</v>
      </c>
      <c r="E104" s="12" t="n">
        <v>138.67</v>
      </c>
      <c r="F104" s="12" t="n">
        <v>111.14</v>
      </c>
      <c r="G104" s="12" t="n">
        <v>283.9</v>
      </c>
      <c r="H104" s="12" t="n">
        <v>55.73</v>
      </c>
      <c r="I104" s="11" t="n">
        <v>127</v>
      </c>
      <c r="J104" s="11" t="n">
        <v>149</v>
      </c>
      <c r="K104" s="11" t="n">
        <v>10</v>
      </c>
      <c r="L104" s="11" t="n">
        <v>19</v>
      </c>
      <c r="M104" s="12" t="n">
        <v>165.4</v>
      </c>
      <c r="N104" s="12" t="n">
        <v>4.6</v>
      </c>
      <c r="O104" s="9" t="n">
        <f aca="false">IFERROR(D104/G104/(Parameters!$B$8/Parameters!$B$9),0)</f>
        <v>178.409058602839</v>
      </c>
      <c r="P104" s="9" t="n">
        <f aca="false">IFERROR(G104/E104,0)</f>
        <v>2.04730655513089</v>
      </c>
      <c r="Q104" s="13" t="n">
        <f aca="false">G104*H104</f>
        <v>15821.747</v>
      </c>
      <c r="R104" s="15" t="n">
        <f aca="false">100*I104/Parameters!$B$8</f>
        <v>17.3734610123119</v>
      </c>
      <c r="S104" s="15" t="n">
        <f aca="false">100*J104/Parameters!$B$8</f>
        <v>20.3830369357045</v>
      </c>
      <c r="T104" s="14" t="str">
        <f aca="false">IF(OR(R104&lt;Parameters!$B$16,R104&gt;Parameters!$B$17),"YES","no - within noise")</f>
        <v>no - within noise</v>
      </c>
      <c r="U104" s="14" t="str">
        <f aca="false">IF(OR(S104&lt;Parameters!$B$19,S104&gt;Parameters!$B$20),"YES","no - within noise")</f>
        <v>no - within noise</v>
      </c>
      <c r="V104" s="14" t="str">
        <f aca="false">IF(AND(T104="YES",R104&gt;Parameters!$B$17),"Watch - stockout",IF(AND(U104="YES",S104&gt;Parameters!$B$20),"Watch - excess capital","Routine"))</f>
        <v>Routine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7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6" t="s">
        <v>229</v>
      </c>
    </row>
    <row r="2" customFormat="false" ht="15" hidden="false" customHeight="false" outlineLevel="0" collapsed="false">
      <c r="A2" s="2" t="s">
        <v>230</v>
      </c>
    </row>
    <row r="4" customFormat="false" ht="30" hidden="false" customHeight="true" outlineLevel="0" collapsed="false">
      <c r="A4" s="7" t="s">
        <v>231</v>
      </c>
      <c r="B4" s="7" t="s">
        <v>232</v>
      </c>
      <c r="C4" s="7" t="s">
        <v>233</v>
      </c>
      <c r="D4" s="7" t="s">
        <v>213</v>
      </c>
      <c r="E4" s="7" t="s">
        <v>222</v>
      </c>
      <c r="F4" s="7" t="s">
        <v>234</v>
      </c>
      <c r="G4" s="7" t="s">
        <v>235</v>
      </c>
      <c r="H4" s="7" t="s">
        <v>236</v>
      </c>
      <c r="I4" s="7" t="s">
        <v>220</v>
      </c>
      <c r="J4" s="7" t="s">
        <v>237</v>
      </c>
      <c r="K4" s="7" t="s">
        <v>238</v>
      </c>
      <c r="L4" s="7" t="s">
        <v>239</v>
      </c>
    </row>
    <row r="5" customFormat="false" ht="15" hidden="false" customHeight="false" outlineLevel="0" collapsed="false">
      <c r="A5" s="14" t="s">
        <v>240</v>
      </c>
      <c r="B5" s="16" t="n">
        <v>419938</v>
      </c>
      <c r="C5" s="13" t="n">
        <v>20919532.62</v>
      </c>
      <c r="D5" s="9" t="n">
        <v>272.01</v>
      </c>
      <c r="E5" s="9" t="n">
        <v>2.05</v>
      </c>
      <c r="F5" s="16" t="n">
        <v>586</v>
      </c>
      <c r="G5" s="16" t="n">
        <v>617</v>
      </c>
      <c r="H5" s="13" t="n">
        <v>685.05</v>
      </c>
      <c r="I5" s="9" t="n">
        <v>5.05</v>
      </c>
      <c r="J5" s="16" t="n">
        <v>3100</v>
      </c>
      <c r="K5" s="14" t="n">
        <v>1</v>
      </c>
      <c r="L5" s="17"/>
    </row>
    <row r="6" customFormat="false" ht="15" hidden="false" customHeight="false" outlineLevel="0" collapsed="false">
      <c r="A6" s="14" t="s">
        <v>241</v>
      </c>
      <c r="B6" s="16" t="n">
        <v>391052</v>
      </c>
      <c r="C6" s="13" t="n">
        <v>19061033.49</v>
      </c>
      <c r="D6" s="9" t="n">
        <v>275.8</v>
      </c>
      <c r="E6" s="9" t="n">
        <v>2.05</v>
      </c>
      <c r="F6" s="16" t="n">
        <v>545</v>
      </c>
      <c r="G6" s="16" t="n">
        <v>549</v>
      </c>
      <c r="H6" s="13" t="n">
        <v>664.73</v>
      </c>
      <c r="I6" s="9" t="n">
        <v>5.16</v>
      </c>
      <c r="J6" s="16" t="n">
        <v>2800</v>
      </c>
      <c r="K6" s="14" t="n">
        <v>1</v>
      </c>
      <c r="L6" s="17" t="n">
        <f aca="false">IF(OR(K6=0,K5=0),"",IFERROR(B6/B5-1,""))</f>
        <v>-0.0687863446508771</v>
      </c>
    </row>
    <row r="7" customFormat="false" ht="15" hidden="false" customHeight="false" outlineLevel="0" collapsed="false">
      <c r="A7" s="14" t="s">
        <v>242</v>
      </c>
      <c r="B7" s="16" t="n">
        <v>426073</v>
      </c>
      <c r="C7" s="13" t="n">
        <v>21522683.07</v>
      </c>
      <c r="D7" s="9" t="n">
        <v>274.81</v>
      </c>
      <c r="E7" s="9" t="n">
        <v>2.01</v>
      </c>
      <c r="F7" s="16" t="n">
        <v>576</v>
      </c>
      <c r="G7" s="16" t="n">
        <v>548</v>
      </c>
      <c r="H7" s="13" t="n">
        <v>589.76</v>
      </c>
      <c r="I7" s="9" t="n">
        <v>5.16</v>
      </c>
      <c r="J7" s="16" t="n">
        <v>3100</v>
      </c>
      <c r="K7" s="14" t="n">
        <v>1</v>
      </c>
      <c r="L7" s="17" t="n">
        <f aca="false">IF(OR(K7=0,K6=0),"",IFERROR(B7/B6-1,""))</f>
        <v>0.0895558646931867</v>
      </c>
    </row>
    <row r="8" customFormat="false" ht="15" hidden="false" customHeight="false" outlineLevel="0" collapsed="false">
      <c r="A8" s="14" t="s">
        <v>243</v>
      </c>
      <c r="B8" s="16" t="n">
        <v>407380</v>
      </c>
      <c r="C8" s="13" t="n">
        <v>20314402.68</v>
      </c>
      <c r="D8" s="9" t="n">
        <v>272.19</v>
      </c>
      <c r="E8" s="9" t="n">
        <v>2.01</v>
      </c>
      <c r="F8" s="16" t="n">
        <v>576</v>
      </c>
      <c r="G8" s="16" t="n">
        <v>559</v>
      </c>
      <c r="H8" s="13" t="n">
        <v>626.93</v>
      </c>
      <c r="I8" s="9" t="n">
        <v>5.02</v>
      </c>
      <c r="J8" s="16" t="n">
        <v>3000</v>
      </c>
      <c r="K8" s="14" t="n">
        <v>1</v>
      </c>
      <c r="L8" s="17" t="n">
        <f aca="false">IF(OR(K8=0,K7=0),"",IFERROR(B8/B7-1,""))</f>
        <v>-0.0438727635874604</v>
      </c>
    </row>
    <row r="9" customFormat="false" ht="15" hidden="false" customHeight="false" outlineLevel="0" collapsed="false">
      <c r="A9" s="14" t="s">
        <v>244</v>
      </c>
      <c r="B9" s="16" t="n">
        <v>414799</v>
      </c>
      <c r="C9" s="13" t="n">
        <v>20542562.41</v>
      </c>
      <c r="D9" s="9" t="n">
        <v>271.75</v>
      </c>
      <c r="E9" s="9" t="n">
        <v>2.05</v>
      </c>
      <c r="F9" s="16" t="n">
        <v>574</v>
      </c>
      <c r="G9" s="16" t="n">
        <v>632</v>
      </c>
      <c r="H9" s="13" t="n">
        <v>664.17</v>
      </c>
      <c r="I9" s="9" t="n">
        <v>4.82</v>
      </c>
      <c r="J9" s="16" t="n">
        <v>3100</v>
      </c>
      <c r="K9" s="14" t="n">
        <v>1</v>
      </c>
      <c r="L9" s="17" t="n">
        <f aca="false">IF(OR(K9=0,K8=0),"",IFERROR(B9/B8-1,""))</f>
        <v>0.0182114978644017</v>
      </c>
    </row>
    <row r="10" customFormat="false" ht="15" hidden="false" customHeight="false" outlineLevel="0" collapsed="false">
      <c r="A10" s="14" t="s">
        <v>245</v>
      </c>
      <c r="B10" s="16" t="n">
        <v>415509</v>
      </c>
      <c r="C10" s="13" t="n">
        <v>20981786.82</v>
      </c>
      <c r="D10" s="9" t="n">
        <v>278.93</v>
      </c>
      <c r="E10" s="9" t="n">
        <v>2.1</v>
      </c>
      <c r="F10" s="16" t="n">
        <v>524</v>
      </c>
      <c r="G10" s="16" t="n">
        <v>636</v>
      </c>
      <c r="H10" s="13" t="n">
        <v>776.81</v>
      </c>
      <c r="I10" s="9" t="n">
        <v>4.99</v>
      </c>
      <c r="J10" s="16" t="n">
        <v>3000</v>
      </c>
      <c r="K10" s="14" t="n">
        <v>1</v>
      </c>
      <c r="L10" s="17" t="n">
        <f aca="false">IF(OR(K10=0,K9=0),"",IFERROR(B10/B9-1,""))</f>
        <v>0.0017116724003674</v>
      </c>
    </row>
    <row r="11" customFormat="false" ht="15" hidden="false" customHeight="false" outlineLevel="0" collapsed="false">
      <c r="A11" s="14" t="s">
        <v>246</v>
      </c>
      <c r="B11" s="16" t="n">
        <v>426628</v>
      </c>
      <c r="C11" s="13" t="n">
        <v>21293910.2</v>
      </c>
      <c r="D11" s="9" t="n">
        <v>274.61</v>
      </c>
      <c r="E11" s="9" t="n">
        <v>2</v>
      </c>
      <c r="F11" s="16" t="n">
        <v>588</v>
      </c>
      <c r="G11" s="16" t="n">
        <v>529</v>
      </c>
      <c r="H11" s="13" t="n">
        <v>536.77</v>
      </c>
      <c r="I11" s="9" t="n">
        <v>5.01</v>
      </c>
      <c r="J11" s="16" t="n">
        <v>3100</v>
      </c>
      <c r="K11" s="14" t="n">
        <v>1</v>
      </c>
      <c r="L11" s="17" t="n">
        <f aca="false">IF(OR(K11=0,K10=0),"",IFERROR(B11/B10-1,""))</f>
        <v>0.0267599498446485</v>
      </c>
    </row>
    <row r="12" customFormat="false" ht="15" hidden="false" customHeight="false" outlineLevel="0" collapsed="false">
      <c r="A12" s="14" t="s">
        <v>247</v>
      </c>
      <c r="B12" s="16" t="n">
        <v>424916</v>
      </c>
      <c r="C12" s="13" t="n">
        <v>21055281.19</v>
      </c>
      <c r="D12" s="9" t="n">
        <v>275.25</v>
      </c>
      <c r="E12" s="9" t="n">
        <v>2.02</v>
      </c>
      <c r="F12" s="16" t="n">
        <v>572</v>
      </c>
      <c r="G12" s="16" t="n">
        <v>549</v>
      </c>
      <c r="H12" s="13" t="n">
        <v>555.84</v>
      </c>
      <c r="I12" s="9" t="n">
        <v>4.98</v>
      </c>
      <c r="J12" s="16" t="n">
        <v>3100</v>
      </c>
      <c r="K12" s="14" t="n">
        <v>1</v>
      </c>
      <c r="L12" s="17" t="n">
        <f aca="false">IF(OR(K12=0,K11=0),"",IFERROR(B12/B11-1,""))</f>
        <v>-0.0040128636657697</v>
      </c>
    </row>
    <row r="13" customFormat="false" ht="15" hidden="false" customHeight="false" outlineLevel="0" collapsed="false">
      <c r="A13" s="14" t="s">
        <v>248</v>
      </c>
      <c r="B13" s="16" t="n">
        <v>411610</v>
      </c>
      <c r="C13" s="13" t="n">
        <v>20628910.98</v>
      </c>
      <c r="D13" s="9" t="n">
        <v>278.38</v>
      </c>
      <c r="E13" s="9" t="n">
        <v>2.06</v>
      </c>
      <c r="F13" s="16" t="n">
        <v>520</v>
      </c>
      <c r="G13" s="16" t="n">
        <v>564</v>
      </c>
      <c r="H13" s="13" t="n">
        <v>593.42</v>
      </c>
      <c r="I13" s="9" t="n">
        <v>5.15</v>
      </c>
      <c r="J13" s="16" t="n">
        <v>3000</v>
      </c>
      <c r="K13" s="14" t="n">
        <v>1</v>
      </c>
      <c r="L13" s="17" t="n">
        <f aca="false">IF(OR(K13=0,K12=0),"",IFERROR(B13/B12-1,""))</f>
        <v>-0.0313144244980185</v>
      </c>
    </row>
    <row r="14" customFormat="false" ht="15" hidden="false" customHeight="false" outlineLevel="0" collapsed="false">
      <c r="A14" s="14" t="s">
        <v>249</v>
      </c>
      <c r="B14" s="16" t="n">
        <v>426863</v>
      </c>
      <c r="C14" s="13" t="n">
        <v>21147496.16</v>
      </c>
      <c r="D14" s="9" t="n">
        <v>275.54</v>
      </c>
      <c r="E14" s="9" t="n">
        <v>2.04</v>
      </c>
      <c r="F14" s="16" t="n">
        <v>596</v>
      </c>
      <c r="G14" s="16" t="n">
        <v>580</v>
      </c>
      <c r="H14" s="13" t="n">
        <v>658.07</v>
      </c>
      <c r="I14" s="9" t="n">
        <v>4.93</v>
      </c>
      <c r="J14" s="16" t="n">
        <v>3100</v>
      </c>
      <c r="K14" s="14" t="n">
        <v>1</v>
      </c>
      <c r="L14" s="17" t="n">
        <f aca="false">IF(OR(K14=0,K13=0),"",IFERROR(B14/B13-1,""))</f>
        <v>0.0370569228152864</v>
      </c>
    </row>
    <row r="15" customFormat="false" ht="15" hidden="false" customHeight="false" outlineLevel="0" collapsed="false">
      <c r="A15" s="14" t="s">
        <v>250</v>
      </c>
      <c r="B15" s="16" t="n">
        <v>414535</v>
      </c>
      <c r="C15" s="13" t="n">
        <v>20719137.35</v>
      </c>
      <c r="D15" s="9" t="n">
        <v>276.59</v>
      </c>
      <c r="E15" s="9" t="n">
        <v>2.05</v>
      </c>
      <c r="F15" s="16" t="n">
        <v>569</v>
      </c>
      <c r="G15" s="16" t="n">
        <v>584</v>
      </c>
      <c r="H15" s="13" t="n">
        <v>687.14</v>
      </c>
      <c r="I15" s="9" t="n">
        <v>4.99</v>
      </c>
      <c r="J15" s="16" t="n">
        <v>3000</v>
      </c>
      <c r="K15" s="14" t="n">
        <v>1</v>
      </c>
      <c r="L15" s="17" t="n">
        <f aca="false">IF(OR(K15=0,K14=0),"",IFERROR(B15/B14-1,""))</f>
        <v>-0.0288804604756092</v>
      </c>
    </row>
    <row r="16" customFormat="false" ht="15" hidden="false" customHeight="false" outlineLevel="0" collapsed="false">
      <c r="A16" s="14" t="s">
        <v>251</v>
      </c>
      <c r="B16" s="16" t="n">
        <v>412321</v>
      </c>
      <c r="C16" s="13" t="n">
        <v>20268137.37</v>
      </c>
      <c r="D16" s="9" t="n">
        <v>271.94</v>
      </c>
      <c r="E16" s="9" t="n">
        <v>2.04</v>
      </c>
      <c r="F16" s="16" t="n">
        <v>602</v>
      </c>
      <c r="G16" s="16" t="n">
        <v>575</v>
      </c>
      <c r="H16" s="13" t="n">
        <v>688.24</v>
      </c>
      <c r="I16" s="9" t="n">
        <v>5.05</v>
      </c>
      <c r="J16" s="16" t="n">
        <v>3100</v>
      </c>
      <c r="K16" s="14" t="n">
        <v>1</v>
      </c>
      <c r="L16" s="17" t="n">
        <f aca="false">IF(OR(K16=0,K15=0),"",IFERROR(B16/B15-1,""))</f>
        <v>-0.00534092416804366</v>
      </c>
    </row>
    <row r="17" customFormat="false" ht="15" hidden="false" customHeight="false" outlineLevel="0" collapsed="false">
      <c r="A17" s="14" t="s">
        <v>252</v>
      </c>
      <c r="B17" s="16" t="n">
        <v>423408</v>
      </c>
      <c r="C17" s="13" t="n">
        <v>20723763.13</v>
      </c>
      <c r="D17" s="9" t="n">
        <v>275.42</v>
      </c>
      <c r="E17" s="9" t="n">
        <v>2.07</v>
      </c>
      <c r="F17" s="16" t="n">
        <v>541</v>
      </c>
      <c r="G17" s="16" t="n">
        <v>623</v>
      </c>
      <c r="H17" s="13" t="n">
        <v>682.82</v>
      </c>
      <c r="I17" s="9" t="n">
        <v>4.98</v>
      </c>
      <c r="J17" s="16" t="n">
        <v>3100</v>
      </c>
      <c r="K17" s="14" t="n">
        <v>1</v>
      </c>
      <c r="L17" s="17" t="n">
        <f aca="false">IF(OR(K17=0,K16=0),"",IFERROR(B17/B16-1,""))</f>
        <v>0.0268892440598465</v>
      </c>
    </row>
    <row r="18" customFormat="false" ht="15" hidden="false" customHeight="false" outlineLevel="0" collapsed="false">
      <c r="A18" s="14" t="s">
        <v>253</v>
      </c>
      <c r="B18" s="16" t="n">
        <v>385168</v>
      </c>
      <c r="C18" s="13" t="n">
        <v>19228946.41</v>
      </c>
      <c r="D18" s="9" t="n">
        <v>273.73</v>
      </c>
      <c r="E18" s="9" t="n">
        <v>2.03</v>
      </c>
      <c r="F18" s="16" t="n">
        <v>531</v>
      </c>
      <c r="G18" s="16" t="n">
        <v>509</v>
      </c>
      <c r="H18" s="13" t="n">
        <v>652.5</v>
      </c>
      <c r="I18" s="9" t="n">
        <v>5.36</v>
      </c>
      <c r="J18" s="16" t="n">
        <v>2800</v>
      </c>
      <c r="K18" s="14" t="n">
        <v>1</v>
      </c>
      <c r="L18" s="17" t="n">
        <f aca="false">IF(OR(K18=0,K17=0),"",IFERROR(B18/B17-1,""))</f>
        <v>-0.0903147791255715</v>
      </c>
    </row>
    <row r="19" customFormat="false" ht="15" hidden="false" customHeight="false" outlineLevel="0" collapsed="false">
      <c r="A19" s="14" t="s">
        <v>254</v>
      </c>
      <c r="B19" s="16" t="n">
        <v>416522</v>
      </c>
      <c r="C19" s="13" t="n">
        <v>20944688.73</v>
      </c>
      <c r="D19" s="9" t="n">
        <v>273.72</v>
      </c>
      <c r="E19" s="9" t="n">
        <v>2.05</v>
      </c>
      <c r="F19" s="16" t="n">
        <v>566</v>
      </c>
      <c r="G19" s="16" t="n">
        <v>592</v>
      </c>
      <c r="H19" s="13" t="n">
        <v>665.13</v>
      </c>
      <c r="I19" s="9" t="n">
        <v>5.01</v>
      </c>
      <c r="J19" s="16" t="n">
        <v>3100</v>
      </c>
      <c r="K19" s="14" t="n">
        <v>1</v>
      </c>
      <c r="L19" s="17" t="n">
        <f aca="false">IF(OR(K19=0,K18=0),"",IFERROR(B19/B18-1,""))</f>
        <v>0.0814034395380716</v>
      </c>
    </row>
    <row r="20" customFormat="false" ht="15" hidden="false" customHeight="false" outlineLevel="0" collapsed="false">
      <c r="A20" s="14" t="s">
        <v>255</v>
      </c>
      <c r="B20" s="16" t="n">
        <v>401077</v>
      </c>
      <c r="C20" s="13" t="n">
        <v>20197978.26</v>
      </c>
      <c r="D20" s="9" t="n">
        <v>274.71</v>
      </c>
      <c r="E20" s="9" t="n">
        <v>2.09</v>
      </c>
      <c r="F20" s="16" t="n">
        <v>551</v>
      </c>
      <c r="G20" s="16" t="n">
        <v>630</v>
      </c>
      <c r="H20" s="13" t="n">
        <v>781.63</v>
      </c>
      <c r="I20" s="9" t="n">
        <v>4.75</v>
      </c>
      <c r="J20" s="16" t="n">
        <v>3000</v>
      </c>
      <c r="K20" s="14" t="n">
        <v>1</v>
      </c>
      <c r="L20" s="17" t="n">
        <f aca="false">IF(OR(K20=0,K19=0),"",IFERROR(B20/B19-1,""))</f>
        <v>-0.0370808744796193</v>
      </c>
    </row>
    <row r="21" customFormat="false" ht="15" hidden="false" customHeight="false" outlineLevel="0" collapsed="false">
      <c r="A21" s="14" t="s">
        <v>256</v>
      </c>
      <c r="B21" s="16" t="n">
        <v>418673</v>
      </c>
      <c r="C21" s="13" t="n">
        <v>20726724.87</v>
      </c>
      <c r="D21" s="9" t="n">
        <v>271</v>
      </c>
      <c r="E21" s="9" t="n">
        <v>2.03</v>
      </c>
      <c r="F21" s="16" t="n">
        <v>601</v>
      </c>
      <c r="G21" s="16" t="n">
        <v>571</v>
      </c>
      <c r="H21" s="13" t="n">
        <v>619.72</v>
      </c>
      <c r="I21" s="9" t="n">
        <v>4.76</v>
      </c>
      <c r="J21" s="16" t="n">
        <v>3100</v>
      </c>
      <c r="K21" s="14" t="n">
        <v>1</v>
      </c>
      <c r="L21" s="17" t="n">
        <f aca="false">IF(OR(K21=0,K20=0),"",IFERROR(B21/B20-1,""))</f>
        <v>0.0438718749766254</v>
      </c>
    </row>
    <row r="22" customFormat="false" ht="15" hidden="false" customHeight="false" outlineLevel="0" collapsed="false">
      <c r="A22" s="14" t="s">
        <v>257</v>
      </c>
      <c r="B22" s="16" t="n">
        <v>405641</v>
      </c>
      <c r="C22" s="13" t="n">
        <v>20046288.81</v>
      </c>
      <c r="D22" s="9" t="n">
        <v>274.2</v>
      </c>
      <c r="E22" s="9" t="n">
        <v>2.07</v>
      </c>
      <c r="F22" s="16" t="n">
        <v>579</v>
      </c>
      <c r="G22" s="16" t="n">
        <v>630</v>
      </c>
      <c r="H22" s="13" t="n">
        <v>676.79</v>
      </c>
      <c r="I22" s="9" t="n">
        <v>5.15</v>
      </c>
      <c r="J22" s="16" t="n">
        <v>3000</v>
      </c>
      <c r="K22" s="14" t="n">
        <v>1</v>
      </c>
      <c r="L22" s="17" t="n">
        <f aca="false">IF(OR(K22=0,K21=0),"",IFERROR(B22/B21-1,""))</f>
        <v>-0.0311269176660545</v>
      </c>
    </row>
    <row r="23" customFormat="false" ht="15" hidden="false" customHeight="false" outlineLevel="0" collapsed="false">
      <c r="A23" s="14" t="s">
        <v>258</v>
      </c>
      <c r="B23" s="16" t="n">
        <v>437919</v>
      </c>
      <c r="C23" s="13" t="n">
        <v>21306954.4</v>
      </c>
      <c r="D23" s="9" t="n">
        <v>278.49</v>
      </c>
      <c r="E23" s="9" t="n">
        <v>2.04</v>
      </c>
      <c r="F23" s="16" t="n">
        <v>563</v>
      </c>
      <c r="G23" s="16" t="n">
        <v>562</v>
      </c>
      <c r="H23" s="13" t="n">
        <v>606.48</v>
      </c>
      <c r="I23" s="9" t="n">
        <v>5.35</v>
      </c>
      <c r="J23" s="16" t="n">
        <v>3100</v>
      </c>
      <c r="K23" s="14" t="n">
        <v>1</v>
      </c>
      <c r="L23" s="17" t="n">
        <f aca="false">IF(OR(K23=0,K22=0),"",IFERROR(B23/B22-1,""))</f>
        <v>0.0795728242460698</v>
      </c>
    </row>
    <row r="24" customFormat="false" ht="15" hidden="false" customHeight="false" outlineLevel="0" collapsed="false">
      <c r="A24" s="14" t="s">
        <v>259</v>
      </c>
      <c r="B24" s="16" t="n">
        <v>416501</v>
      </c>
      <c r="C24" s="13" t="n">
        <v>20566570.75</v>
      </c>
      <c r="D24" s="9" t="n">
        <v>269.82</v>
      </c>
      <c r="E24" s="9" t="n">
        <v>1.97</v>
      </c>
      <c r="F24" s="16" t="n">
        <v>610</v>
      </c>
      <c r="G24" s="16" t="n">
        <v>512</v>
      </c>
      <c r="H24" s="13" t="n">
        <v>513.08</v>
      </c>
      <c r="I24" s="9" t="n">
        <v>5.23</v>
      </c>
      <c r="J24" s="16" t="n">
        <v>3100</v>
      </c>
      <c r="K24" s="14" t="n">
        <v>1</v>
      </c>
      <c r="L24" s="17" t="n">
        <f aca="false">IF(OR(K24=0,K23=0),"",IFERROR(B24/B23-1,""))</f>
        <v>-0.048908588117894</v>
      </c>
    </row>
    <row r="25" customFormat="false" ht="15" hidden="false" customHeight="false" outlineLevel="0" collapsed="false">
      <c r="A25" s="14" t="s">
        <v>260</v>
      </c>
      <c r="B25" s="16" t="n">
        <v>405361</v>
      </c>
      <c r="C25" s="13" t="n">
        <v>19876339.86</v>
      </c>
      <c r="D25" s="9" t="n">
        <v>273.89</v>
      </c>
      <c r="E25" s="9" t="n">
        <v>2.07</v>
      </c>
      <c r="F25" s="16" t="n">
        <v>536</v>
      </c>
      <c r="G25" s="16" t="n">
        <v>622</v>
      </c>
      <c r="H25" s="13" t="n">
        <v>662.36</v>
      </c>
      <c r="I25" s="9" t="n">
        <v>4.84</v>
      </c>
      <c r="J25" s="16" t="n">
        <v>3000</v>
      </c>
      <c r="K25" s="14" t="n">
        <v>1</v>
      </c>
      <c r="L25" s="17" t="n">
        <f aca="false">IF(OR(K25=0,K24=0),"",IFERROR(B25/B24-1,""))</f>
        <v>-0.026746634461862</v>
      </c>
    </row>
    <row r="26" customFormat="false" ht="15" hidden="false" customHeight="false" outlineLevel="0" collapsed="false">
      <c r="A26" s="14" t="s">
        <v>261</v>
      </c>
      <c r="B26" s="16" t="n">
        <v>425646</v>
      </c>
      <c r="C26" s="13" t="n">
        <v>20912916.38</v>
      </c>
      <c r="D26" s="9" t="n">
        <v>278.21</v>
      </c>
      <c r="E26" s="9" t="n">
        <v>2.09</v>
      </c>
      <c r="F26" s="16" t="n">
        <v>554</v>
      </c>
      <c r="G26" s="16" t="n">
        <v>652</v>
      </c>
      <c r="H26" s="13" t="n">
        <v>745.56</v>
      </c>
      <c r="I26" s="9" t="n">
        <v>4.96</v>
      </c>
      <c r="J26" s="16" t="n">
        <v>3100</v>
      </c>
      <c r="K26" s="14" t="n">
        <v>1</v>
      </c>
      <c r="L26" s="17" t="n">
        <f aca="false">IF(OR(K26=0,K25=0),"",IFERROR(B26/B25-1,""))</f>
        <v>0.0500418145800903</v>
      </c>
    </row>
    <row r="27" customFormat="false" ht="15" hidden="false" customHeight="false" outlineLevel="0" collapsed="false">
      <c r="A27" s="14" t="s">
        <v>262</v>
      </c>
      <c r="B27" s="16" t="n">
        <v>416126</v>
      </c>
      <c r="C27" s="13" t="n">
        <v>20711675.49</v>
      </c>
      <c r="D27" s="9" t="n">
        <v>276.34</v>
      </c>
      <c r="E27" s="9" t="n">
        <v>2.03</v>
      </c>
      <c r="F27" s="16" t="n">
        <v>573</v>
      </c>
      <c r="G27" s="16" t="n">
        <v>555</v>
      </c>
      <c r="H27" s="13" t="n">
        <v>593.73</v>
      </c>
      <c r="I27" s="9" t="n">
        <v>5.28</v>
      </c>
      <c r="J27" s="16" t="n">
        <v>3000</v>
      </c>
      <c r="K27" s="14" t="n">
        <v>1</v>
      </c>
      <c r="L27" s="17" t="n">
        <f aca="false">IF(OR(K27=0,K26=0),"",IFERROR(B27/B26-1,""))</f>
        <v>-0.0223660036744149</v>
      </c>
    </row>
    <row r="28" customFormat="false" ht="15" hidden="false" customHeight="false" outlineLevel="0" collapsed="false">
      <c r="A28" s="14" t="s">
        <v>263</v>
      </c>
      <c r="B28" s="16" t="n">
        <v>418672</v>
      </c>
      <c r="C28" s="13" t="n">
        <v>20645510.74</v>
      </c>
      <c r="D28" s="9" t="n">
        <v>270.61</v>
      </c>
      <c r="E28" s="9" t="n">
        <v>2</v>
      </c>
      <c r="F28" s="16" t="n">
        <v>603</v>
      </c>
      <c r="G28" s="16" t="n">
        <v>576</v>
      </c>
      <c r="H28" s="13" t="n">
        <v>595.62</v>
      </c>
      <c r="I28" s="9" t="n">
        <v>4.78</v>
      </c>
      <c r="J28" s="16" t="n">
        <v>3100</v>
      </c>
      <c r="K28" s="14" t="n">
        <v>1</v>
      </c>
      <c r="L28" s="17" t="n">
        <f aca="false">IF(OR(K28=0,K27=0),"",IFERROR(B28/B27-1,""))</f>
        <v>0.00611833915688997</v>
      </c>
    </row>
    <row r="29" customFormat="false" ht="15" hidden="false" customHeight="false" outlineLevel="0" collapsed="false">
      <c r="A29" s="14" t="s">
        <v>264</v>
      </c>
      <c r="B29" s="16" t="n">
        <v>13244</v>
      </c>
      <c r="C29" s="13" t="n">
        <v>628142.78</v>
      </c>
      <c r="D29" s="9" t="n">
        <v>264.76</v>
      </c>
      <c r="E29" s="9" t="n">
        <v>1.97</v>
      </c>
      <c r="F29" s="16" t="n">
        <v>17</v>
      </c>
      <c r="G29" s="16" t="n">
        <v>15</v>
      </c>
      <c r="H29" s="13" t="n">
        <v>396.81</v>
      </c>
      <c r="I29" s="9" t="n">
        <v>4.78</v>
      </c>
      <c r="J29" s="16" t="n">
        <v>100</v>
      </c>
      <c r="K29" s="14" t="n">
        <v>0</v>
      </c>
      <c r="L29" s="17" t="str">
        <f aca="false">IF(OR(K29=0,K28=0),"",IFERROR(B29/B28-1,""))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8" min="6" style="0" width="18"/>
    <col collapsed="false" customWidth="true" hidden="false" outlineLevel="0" max="9" min="9" style="0" width="19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6" t="s">
        <v>265</v>
      </c>
    </row>
    <row r="2" customFormat="false" ht="15" hidden="false" customHeight="false" outlineLevel="0" collapsed="false">
      <c r="A2" s="2" t="s">
        <v>266</v>
      </c>
    </row>
    <row r="4" customFormat="false" ht="39.75" hidden="false" customHeight="true" outlineLevel="0" collapsed="false">
      <c r="A4" s="7" t="s">
        <v>71</v>
      </c>
      <c r="B4" s="7" t="s">
        <v>267</v>
      </c>
      <c r="C4" s="7" t="s">
        <v>211</v>
      </c>
      <c r="D4" s="7" t="s">
        <v>223</v>
      </c>
      <c r="E4" s="7" t="s">
        <v>222</v>
      </c>
      <c r="F4" s="7" t="s">
        <v>268</v>
      </c>
      <c r="G4" s="7" t="s">
        <v>269</v>
      </c>
      <c r="H4" s="7" t="s">
        <v>270</v>
      </c>
      <c r="I4" s="7" t="s">
        <v>271</v>
      </c>
      <c r="J4" s="7" t="s">
        <v>272</v>
      </c>
    </row>
    <row r="5" customFormat="false" ht="15" hidden="false" customHeight="false" outlineLevel="0" collapsed="false">
      <c r="A5" s="3" t="s">
        <v>85</v>
      </c>
      <c r="B5" s="16" t="n">
        <f aca="false">COUNTIF(SKU_Scorecard!$B$5:$B$104,$A5)</f>
        <v>20</v>
      </c>
      <c r="C5" s="16" t="n">
        <f aca="false">SUMIF(SKU_Scorecard!$B$5:$B$104,$A5,SKU_Scorecard!$D$5:$D$104)</f>
        <v>1975750</v>
      </c>
      <c r="D5" s="13" t="n">
        <f aca="false">SUMIF(SKU_Scorecard!$B$5:$B$104,$A5,SKU_Scorecard!$Q$5:$Q$104)</f>
        <v>301073.9585</v>
      </c>
      <c r="E5" s="9" t="n">
        <f aca="false">AVERAGEIF(SKU_Scorecard!$B$5:$B$104,$A5,SKU_Scorecard!$P$5:$P$104)</f>
        <v>2.02345293635901</v>
      </c>
      <c r="F5" s="9" t="n">
        <f aca="false">AVERAGEIF(SKU_Scorecard!$B$5:$B$104,$A5,SKU_Scorecard!$O$5:$O$104)</f>
        <v>180.599813967093</v>
      </c>
      <c r="G5" s="15" t="n">
        <f aca="false">AVERAGEIF(SKU_Scorecard!$B$5:$B$104,$A5,SKU_Scorecard!$R$5:$R$104)</f>
        <v>18.4131326949384</v>
      </c>
      <c r="H5" s="15" t="n">
        <f aca="false">AVERAGEIF(SKU_Scorecard!$B$5:$B$104,$A5,SKU_Scorecard!$S$5:$S$104)</f>
        <v>19.8837209302326</v>
      </c>
      <c r="I5" s="9" t="n">
        <f aca="false">SUMIF(SKU_Scorecard!$B$5:$B$104,$A5,SKU_Scorecard!$M$5:$M$104)</f>
        <v>3304.4</v>
      </c>
      <c r="J5" s="16" t="n">
        <f aca="false">COUNTIFS(SKU_Scorecard!$B$5:$B$104,$A5,SKU_Scorecard!$V$5:$V$104,"Watch*")</f>
        <v>3</v>
      </c>
    </row>
    <row r="6" customFormat="false" ht="15" hidden="false" customHeight="false" outlineLevel="0" collapsed="false">
      <c r="A6" s="3" t="s">
        <v>126</v>
      </c>
      <c r="B6" s="16" t="n">
        <f aca="false">COUNTIF(SKU_Scorecard!$B$5:$B$104,$A6)</f>
        <v>20</v>
      </c>
      <c r="C6" s="16" t="n">
        <f aca="false">SUMIF(SKU_Scorecard!$B$5:$B$104,$A6,SKU_Scorecard!$D$5:$D$104)</f>
        <v>1987715</v>
      </c>
      <c r="D6" s="13" t="n">
        <f aca="false">SUMIF(SKU_Scorecard!$B$5:$B$104,$A6,SKU_Scorecard!$Q$5:$Q$104)</f>
        <v>302595.699</v>
      </c>
      <c r="E6" s="9" t="n">
        <f aca="false">AVERAGEIF(SKU_Scorecard!$B$5:$B$104,$A6,SKU_Scorecard!$P$5:$P$104)</f>
        <v>2.01202059814432</v>
      </c>
      <c r="F6" s="9" t="n">
        <f aca="false">AVERAGEIF(SKU_Scorecard!$B$5:$B$104,$A6,SKU_Scorecard!$O$5:$O$104)</f>
        <v>181.664507131033</v>
      </c>
      <c r="G6" s="15" t="n">
        <f aca="false">AVERAGEIF(SKU_Scorecard!$B$5:$B$104,$A6,SKU_Scorecard!$R$5:$R$104)</f>
        <v>18.9124487004104</v>
      </c>
      <c r="H6" s="15" t="n">
        <f aca="false">AVERAGEIF(SKU_Scorecard!$B$5:$B$104,$A6,SKU_Scorecard!$S$5:$S$104)</f>
        <v>19.1997264021888</v>
      </c>
      <c r="I6" s="9" t="n">
        <f aca="false">SUMIF(SKU_Scorecard!$B$5:$B$104,$A6,SKU_Scorecard!$M$5:$M$104)</f>
        <v>3397.9</v>
      </c>
      <c r="J6" s="16" t="n">
        <f aca="false">COUNTIFS(SKU_Scorecard!$B$5:$B$104,$A6,SKU_Scorecard!$V$5:$V$104,"Watch*")</f>
        <v>0</v>
      </c>
    </row>
    <row r="7" customFormat="false" ht="15" hidden="false" customHeight="false" outlineLevel="0" collapsed="false">
      <c r="A7" s="3" t="s">
        <v>147</v>
      </c>
      <c r="B7" s="16" t="n">
        <f aca="false">COUNTIF(SKU_Scorecard!$B$5:$B$104,$A7)</f>
        <v>20</v>
      </c>
      <c r="C7" s="16" t="n">
        <f aca="false">SUMIF(SKU_Scorecard!$B$5:$B$104,$A7,SKU_Scorecard!$D$5:$D$104)</f>
        <v>2022696</v>
      </c>
      <c r="D7" s="13" t="n">
        <f aca="false">SUMIF(SKU_Scorecard!$B$5:$B$104,$A7,SKU_Scorecard!$Q$5:$Q$104)</f>
        <v>305009.8503</v>
      </c>
      <c r="E7" s="9" t="n">
        <f aca="false">AVERAGEIF(SKU_Scorecard!$B$5:$B$104,$A7,SKU_Scorecard!$P$5:$P$104)</f>
        <v>2.00304341646044</v>
      </c>
      <c r="F7" s="9" t="n">
        <f aca="false">AVERAGEIF(SKU_Scorecard!$B$5:$B$104,$A7,SKU_Scorecard!$O$5:$O$104)</f>
        <v>182.489502811276</v>
      </c>
      <c r="G7" s="15" t="n">
        <f aca="false">AVERAGEIF(SKU_Scorecard!$B$5:$B$104,$A7,SKU_Scorecard!$R$5:$R$104)</f>
        <v>18.4404924760602</v>
      </c>
      <c r="H7" s="15" t="n">
        <f aca="false">AVERAGEIF(SKU_Scorecard!$B$5:$B$104,$A7,SKU_Scorecard!$S$5:$S$104)</f>
        <v>18.3515731874145</v>
      </c>
      <c r="I7" s="9" t="n">
        <f aca="false">SUMIF(SKU_Scorecard!$B$5:$B$104,$A7,SKU_Scorecard!$M$5:$M$104)</f>
        <v>3391.6</v>
      </c>
      <c r="J7" s="16" t="n">
        <f aca="false">COUNTIFS(SKU_Scorecard!$B$5:$B$104,$A7,SKU_Scorecard!$V$5:$V$104,"Watch*")</f>
        <v>2</v>
      </c>
    </row>
    <row r="8" customFormat="false" ht="15" hidden="false" customHeight="false" outlineLevel="0" collapsed="false">
      <c r="A8" s="3" t="s">
        <v>168</v>
      </c>
      <c r="B8" s="16" t="n">
        <f aca="false">COUNTIF(SKU_Scorecard!$B$5:$B$104,$A8)</f>
        <v>20</v>
      </c>
      <c r="C8" s="16" t="n">
        <f aca="false">SUMIF(SKU_Scorecard!$B$5:$B$104,$A8,SKU_Scorecard!$D$5:$D$104)</f>
        <v>1979245</v>
      </c>
      <c r="D8" s="13" t="n">
        <f aca="false">SUMIF(SKU_Scorecard!$B$5:$B$104,$A8,SKU_Scorecard!$Q$5:$Q$104)</f>
        <v>301381.3727</v>
      </c>
      <c r="E8" s="9" t="n">
        <f aca="false">AVERAGEIF(SKU_Scorecard!$B$5:$B$104,$A8,SKU_Scorecard!$P$5:$P$104)</f>
        <v>2.01261121537652</v>
      </c>
      <c r="F8" s="9" t="n">
        <f aca="false">AVERAGEIF(SKU_Scorecard!$B$5:$B$104,$A8,SKU_Scorecard!$O$5:$O$104)</f>
        <v>181.57009989719</v>
      </c>
      <c r="G8" s="15" t="n">
        <f aca="false">AVERAGEIF(SKU_Scorecard!$B$5:$B$104,$A8,SKU_Scorecard!$R$5:$R$104)</f>
        <v>18.8987688098495</v>
      </c>
      <c r="H8" s="15" t="n">
        <f aca="false">AVERAGEIF(SKU_Scorecard!$B$5:$B$104,$A8,SKU_Scorecard!$S$5:$S$104)</f>
        <v>19.3023255813953</v>
      </c>
      <c r="I8" s="9" t="n">
        <f aca="false">SUMIF(SKU_Scorecard!$B$5:$B$104,$A8,SKU_Scorecard!$M$5:$M$104)</f>
        <v>3774.4</v>
      </c>
      <c r="J8" s="16" t="n">
        <f aca="false">COUNTIFS(SKU_Scorecard!$B$5:$B$104,$A8,SKU_Scorecard!$V$5:$V$104,"Watch*")</f>
        <v>0</v>
      </c>
    </row>
    <row r="9" customFormat="false" ht="15" hidden="false" customHeight="false" outlineLevel="0" collapsed="false">
      <c r="A9" s="3" t="s">
        <v>189</v>
      </c>
      <c r="B9" s="16" t="n">
        <f aca="false">COUNTIF(SKU_Scorecard!$B$5:$B$104,$A9)</f>
        <v>20</v>
      </c>
      <c r="C9" s="16" t="n">
        <f aca="false">SUMIF(SKU_Scorecard!$B$5:$B$104,$A9,SKU_Scorecard!$D$5:$D$104)</f>
        <v>2010176</v>
      </c>
      <c r="D9" s="13" t="n">
        <f aca="false">SUMIF(SKU_Scorecard!$B$5:$B$104,$A9,SKU_Scorecard!$Q$5:$Q$104)</f>
        <v>306330.4696</v>
      </c>
      <c r="E9" s="9" t="n">
        <f aca="false">AVERAGEIF(SKU_Scorecard!$B$5:$B$104,$A9,SKU_Scorecard!$P$5:$P$104)</f>
        <v>2.01206126395957</v>
      </c>
      <c r="F9" s="9" t="n">
        <f aca="false">AVERAGEIF(SKU_Scorecard!$B$5:$B$104,$A9,SKU_Scorecard!$O$5:$O$104)</f>
        <v>181.638079143737</v>
      </c>
      <c r="G9" s="15" t="n">
        <f aca="false">AVERAGEIF(SKU_Scorecard!$B$5:$B$104,$A9,SKU_Scorecard!$R$5:$R$104)</f>
        <v>18.7209302325581</v>
      </c>
      <c r="H9" s="15" t="n">
        <f aca="false">AVERAGEIF(SKU_Scorecard!$B$5:$B$104,$A9,SKU_Scorecard!$S$5:$S$104)</f>
        <v>18.8235294117647</v>
      </c>
      <c r="I9" s="9" t="n">
        <f aca="false">SUMIF(SKU_Scorecard!$B$5:$B$104,$A9,SKU_Scorecard!$M$5:$M$104)</f>
        <v>3425.3</v>
      </c>
      <c r="J9" s="16" t="n">
        <f aca="false">COUNTIFS(SKU_Scorecard!$B$5:$B$104,$A9,SKU_Scorecard!$V$5:$V$104,"Watch*")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6" t="s">
        <v>273</v>
      </c>
    </row>
    <row r="2" customFormat="false" ht="15" hidden="false" customHeight="false" outlineLevel="0" collapsed="false">
      <c r="A2" s="2" t="s">
        <v>274</v>
      </c>
    </row>
    <row r="4" customFormat="false" ht="30" hidden="false" customHeight="true" outlineLevel="0" collapsed="false">
      <c r="A4" s="7" t="s">
        <v>275</v>
      </c>
      <c r="B4" s="7" t="s">
        <v>43</v>
      </c>
      <c r="C4" s="7" t="s">
        <v>276</v>
      </c>
    </row>
    <row r="5" customFormat="false" ht="15" hidden="false" customHeight="false" outlineLevel="0" collapsed="false">
      <c r="A5" s="18" t="s">
        <v>277</v>
      </c>
      <c r="B5" s="18"/>
      <c r="C5" s="18"/>
    </row>
    <row r="6" customFormat="false" ht="25.5" hidden="false" customHeight="true" outlineLevel="0" collapsed="false">
      <c r="A6" s="5" t="s">
        <v>211</v>
      </c>
      <c r="B6" s="19" t="n">
        <f aca="false">SUM(Monthly_Summary!$B$5:$B$29)</f>
        <v>9975582</v>
      </c>
      <c r="C6" s="4" t="s">
        <v>278</v>
      </c>
    </row>
    <row r="7" customFormat="false" ht="25.5" hidden="false" customHeight="true" outlineLevel="0" collapsed="false">
      <c r="A7" s="5" t="s">
        <v>279</v>
      </c>
      <c r="B7" s="20" t="n">
        <f aca="false">SUM(Monthly_Summary!$C$5:$C$29)</f>
        <v>494971374.95</v>
      </c>
      <c r="C7" s="4" t="s">
        <v>280</v>
      </c>
    </row>
    <row r="8" customFormat="false" ht="25.5" hidden="false" customHeight="true" outlineLevel="0" collapsed="false">
      <c r="A8" s="5" t="s">
        <v>281</v>
      </c>
      <c r="B8" s="20" t="n">
        <f aca="false">SUM(SKU_Scorecard!$Q$5:$Q$104)</f>
        <v>1516391.3501</v>
      </c>
      <c r="C8" s="4" t="s">
        <v>282</v>
      </c>
    </row>
    <row r="9" customFormat="false" ht="15" hidden="false" customHeight="false" outlineLevel="0" collapsed="false">
      <c r="A9" s="18" t="s">
        <v>283</v>
      </c>
      <c r="B9" s="18"/>
      <c r="C9" s="18"/>
    </row>
    <row r="10" customFormat="false" ht="25.5" hidden="false" customHeight="true" outlineLevel="0" collapsed="false">
      <c r="A10" s="5" t="s">
        <v>222</v>
      </c>
      <c r="B10" s="21" t="n">
        <f aca="false">AVERAGE(SKU_Scorecard!$P$5:$P$104)</f>
        <v>2.01263788605997</v>
      </c>
      <c r="C10" s="4" t="s">
        <v>284</v>
      </c>
    </row>
    <row r="11" customFormat="false" ht="25.5" hidden="false" customHeight="true" outlineLevel="0" collapsed="false">
      <c r="A11" s="5" t="s">
        <v>285</v>
      </c>
      <c r="B11" s="21" t="n">
        <f aca="false">AVERAGE(SKU_Scorecard!$O$5:$O$104)</f>
        <v>181.592400590066</v>
      </c>
      <c r="C11" s="4" t="s">
        <v>286</v>
      </c>
    </row>
    <row r="12" customFormat="false" ht="25.5" hidden="false" customHeight="true" outlineLevel="0" collapsed="false">
      <c r="A12" s="5" t="s">
        <v>287</v>
      </c>
      <c r="B12" s="22" t="n">
        <f aca="false">AVERAGE(SKU_Scorecard!$R$5:$R$104)</f>
        <v>18.6771545827633</v>
      </c>
      <c r="C12" s="4" t="s">
        <v>288</v>
      </c>
    </row>
    <row r="13" customFormat="false" ht="25.5" hidden="false" customHeight="true" outlineLevel="0" collapsed="false">
      <c r="A13" s="5" t="s">
        <v>289</v>
      </c>
      <c r="B13" s="22" t="n">
        <f aca="false">AVERAGE(SKU_Scorecard!$S$5:$S$104)</f>
        <v>19.1121751025992</v>
      </c>
      <c r="C13" s="4" t="s">
        <v>290</v>
      </c>
    </row>
    <row r="14" customFormat="false" ht="15" hidden="false" customHeight="false" outlineLevel="0" collapsed="false">
      <c r="A14" s="18" t="s">
        <v>291</v>
      </c>
      <c r="B14" s="18"/>
      <c r="C14" s="18"/>
    </row>
    <row r="15" customFormat="false" ht="25.5" hidden="false" customHeight="true" outlineLevel="0" collapsed="false">
      <c r="A15" s="5" t="s">
        <v>292</v>
      </c>
      <c r="B15" s="19" t="n">
        <f aca="false">SUM(SKU_Scorecard!$K$5:$K$104)</f>
        <v>369</v>
      </c>
      <c r="C15" s="4" t="s">
        <v>293</v>
      </c>
    </row>
    <row r="16" customFormat="false" ht="25.5" hidden="false" customHeight="true" outlineLevel="0" collapsed="false">
      <c r="A16" s="5" t="s">
        <v>294</v>
      </c>
      <c r="B16" s="19" t="n">
        <f aca="false">SUM(SKU_Scorecard!$L$5:$L$104)</f>
        <v>2585</v>
      </c>
      <c r="C16" s="4" t="s">
        <v>295</v>
      </c>
    </row>
    <row r="17" customFormat="false" ht="25.5" hidden="false" customHeight="true" outlineLevel="0" collapsed="false">
      <c r="A17" s="5" t="s">
        <v>271</v>
      </c>
      <c r="B17" s="19" t="n">
        <f aca="false">SUM(SKU_Scorecard!$M$5:$M$104)</f>
        <v>17293.6</v>
      </c>
      <c r="C17" s="4" t="s">
        <v>296</v>
      </c>
    </row>
    <row r="18" customFormat="false" ht="15" hidden="false" customHeight="false" outlineLevel="0" collapsed="false">
      <c r="A18" s="18" t="s">
        <v>297</v>
      </c>
      <c r="B18" s="18"/>
      <c r="C18" s="18"/>
    </row>
    <row r="19" customFormat="false" ht="25.5" hidden="false" customHeight="true" outlineLevel="0" collapsed="false">
      <c r="A19" s="5" t="s">
        <v>298</v>
      </c>
      <c r="B19" s="21" t="n">
        <f aca="false">AVERAGE(SKU_Scorecard!$N$5:$N$104)</f>
        <v>5.0299</v>
      </c>
      <c r="C19" s="4" t="s">
        <v>299</v>
      </c>
    </row>
    <row r="20" customFormat="false" ht="15" hidden="false" customHeight="false" outlineLevel="0" collapsed="false">
      <c r="A20" s="18" t="s">
        <v>300</v>
      </c>
      <c r="B20" s="18"/>
      <c r="C20" s="18"/>
    </row>
    <row r="21" customFormat="false" ht="25.5" hidden="false" customHeight="true" outlineLevel="0" collapsed="false">
      <c r="A21" s="5" t="s">
        <v>301</v>
      </c>
      <c r="B21" s="19" t="n">
        <f aca="false">COUNTIF(Action_Register!$L$5:$L$104,"Critical")</f>
        <v>17</v>
      </c>
      <c r="C21" s="4" t="s">
        <v>302</v>
      </c>
    </row>
    <row r="22" customFormat="false" ht="25.5" hidden="false" customHeight="true" outlineLevel="0" collapsed="false">
      <c r="A22" s="5" t="s">
        <v>303</v>
      </c>
      <c r="B22" s="19" t="n">
        <f aca="false">COUNTIF(Action_Register!$L$5:$L$104,"Below Reorder")</f>
        <v>20</v>
      </c>
      <c r="C22" s="4" t="s">
        <v>304</v>
      </c>
    </row>
    <row r="23" customFormat="false" ht="25.5" hidden="false" customHeight="true" outlineLevel="0" collapsed="false">
      <c r="A23" s="5" t="s">
        <v>305</v>
      </c>
      <c r="B23" s="19" t="n">
        <f aca="false">COUNTIF(Action_Register!$L$5:$L$104,"Healthy")</f>
        <v>48</v>
      </c>
      <c r="C23" s="4" t="s">
        <v>306</v>
      </c>
    </row>
    <row r="24" customFormat="false" ht="25.5" hidden="false" customHeight="true" outlineLevel="0" collapsed="false">
      <c r="A24" s="5" t="s">
        <v>307</v>
      </c>
      <c r="B24" s="19" t="n">
        <f aca="false">COUNTIF(Action_Register!$L$5:$L$104,"Excess")</f>
        <v>15</v>
      </c>
      <c r="C24" s="4" t="s">
        <v>308</v>
      </c>
    </row>
    <row r="25" customFormat="false" ht="25.5" hidden="false" customHeight="true" outlineLevel="0" collapsed="false">
      <c r="A25" s="5" t="s">
        <v>309</v>
      </c>
      <c r="B25" s="19" t="n">
        <f aca="false">SUM(Action_Register!$H$5:$H$104)</f>
        <v>14845.27</v>
      </c>
      <c r="C25" s="4" t="s">
        <v>310</v>
      </c>
    </row>
    <row r="26" customFormat="false" ht="25.5" hidden="false" customHeight="true" outlineLevel="0" collapsed="false">
      <c r="A26" s="5" t="s">
        <v>311</v>
      </c>
      <c r="B26" s="19" t="n">
        <f aca="false">SUM(Action_Register!$J$5:$J$104)</f>
        <v>-3611.27</v>
      </c>
      <c r="C26" s="4" t="s">
        <v>312</v>
      </c>
    </row>
    <row r="27" customFormat="false" ht="15" hidden="false" customHeight="false" outlineLevel="0" collapsed="false">
      <c r="A27" s="18" t="s">
        <v>313</v>
      </c>
      <c r="B27" s="18"/>
      <c r="C27" s="18"/>
    </row>
    <row r="28" customFormat="false" ht="25.5" hidden="false" customHeight="true" outlineLevel="0" collapsed="false">
      <c r="A28" s="5" t="s">
        <v>272</v>
      </c>
      <c r="B28" s="19" t="n">
        <f aca="false">COUNTIF(SKU_Scorecard!$V$5:$V$104,"Watch*")</f>
        <v>5</v>
      </c>
      <c r="C28" s="4" t="s">
        <v>314</v>
      </c>
    </row>
    <row r="29" customFormat="false" ht="25.5" hidden="false" customHeight="true" outlineLevel="0" collapsed="false">
      <c r="A29" s="5" t="s">
        <v>315</v>
      </c>
      <c r="B29" s="19" t="n">
        <f aca="false">COUNTIF(SKU_Scorecard!$V$5:$V$104,"Routine")</f>
        <v>95</v>
      </c>
      <c r="C29" s="4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84"/>
  </cols>
  <sheetData>
    <row r="1" customFormat="false" ht="17.35" hidden="false" customHeight="false" outlineLevel="0" collapsed="false">
      <c r="A1" s="6" t="s">
        <v>317</v>
      </c>
    </row>
    <row r="3" customFormat="false" ht="30" hidden="false" customHeight="true" outlineLevel="0" collapsed="false">
      <c r="A3" s="7" t="s">
        <v>318</v>
      </c>
      <c r="B3" s="7" t="s">
        <v>319</v>
      </c>
      <c r="C3" s="7" t="s">
        <v>320</v>
      </c>
      <c r="D3" s="7" t="s">
        <v>321</v>
      </c>
    </row>
    <row r="4" customFormat="false" ht="15" hidden="false" customHeight="true" outlineLevel="0" collapsed="false">
      <c r="A4" s="23" t="s">
        <v>322</v>
      </c>
      <c r="B4" s="23" t="s">
        <v>323</v>
      </c>
      <c r="C4" s="23" t="s">
        <v>322</v>
      </c>
      <c r="D4" s="23" t="s">
        <v>324</v>
      </c>
    </row>
    <row r="5" customFormat="false" ht="15" hidden="false" customHeight="true" outlineLevel="0" collapsed="false">
      <c r="A5" s="23" t="s">
        <v>71</v>
      </c>
      <c r="B5" s="23" t="s">
        <v>323</v>
      </c>
      <c r="C5" s="23" t="s">
        <v>325</v>
      </c>
      <c r="D5" s="23" t="s">
        <v>326</v>
      </c>
    </row>
    <row r="6" customFormat="false" ht="15" hidden="false" customHeight="true" outlineLevel="0" collapsed="false">
      <c r="A6" s="23" t="s">
        <v>72</v>
      </c>
      <c r="B6" s="23" t="s">
        <v>323</v>
      </c>
      <c r="C6" s="23" t="s">
        <v>325</v>
      </c>
      <c r="D6" s="23" t="s">
        <v>327</v>
      </c>
    </row>
    <row r="7" customFormat="false" ht="25.5" hidden="false" customHeight="true" outlineLevel="0" collapsed="false">
      <c r="A7" s="23" t="s">
        <v>328</v>
      </c>
      <c r="B7" s="23" t="s">
        <v>323</v>
      </c>
      <c r="C7" s="23" t="s">
        <v>325</v>
      </c>
      <c r="D7" s="23" t="s">
        <v>329</v>
      </c>
    </row>
    <row r="8" customFormat="false" ht="25.5" hidden="false" customHeight="true" outlineLevel="0" collapsed="false">
      <c r="A8" s="23" t="s">
        <v>330</v>
      </c>
      <c r="B8" s="23" t="s">
        <v>323</v>
      </c>
      <c r="C8" s="23" t="s">
        <v>325</v>
      </c>
      <c r="D8" s="23" t="s">
        <v>331</v>
      </c>
    </row>
    <row r="9" customFormat="false" ht="15" hidden="false" customHeight="true" outlineLevel="0" collapsed="false">
      <c r="A9" s="23" t="s">
        <v>332</v>
      </c>
      <c r="B9" s="23" t="s">
        <v>323</v>
      </c>
      <c r="C9" s="23" t="s">
        <v>333</v>
      </c>
      <c r="D9" s="23" t="s">
        <v>334</v>
      </c>
    </row>
    <row r="10" customFormat="false" ht="15" hidden="false" customHeight="true" outlineLevel="0" collapsed="false">
      <c r="A10" s="23" t="s">
        <v>232</v>
      </c>
      <c r="B10" s="23" t="s">
        <v>323</v>
      </c>
      <c r="C10" s="23" t="s">
        <v>333</v>
      </c>
      <c r="D10" s="23" t="s">
        <v>335</v>
      </c>
    </row>
    <row r="11" customFormat="false" ht="25.5" hidden="false" customHeight="true" outlineLevel="0" collapsed="false">
      <c r="A11" s="23" t="s">
        <v>336</v>
      </c>
      <c r="B11" s="23" t="s">
        <v>323</v>
      </c>
      <c r="C11" s="23" t="s">
        <v>333</v>
      </c>
      <c r="D11" s="23" t="s">
        <v>337</v>
      </c>
    </row>
    <row r="12" customFormat="false" ht="15" hidden="false" customHeight="true" outlineLevel="0" collapsed="false">
      <c r="A12" s="23" t="s">
        <v>338</v>
      </c>
      <c r="B12" s="23" t="s">
        <v>323</v>
      </c>
      <c r="C12" s="23" t="s">
        <v>339</v>
      </c>
      <c r="D12" s="23" t="s">
        <v>340</v>
      </c>
    </row>
    <row r="13" customFormat="false" ht="15" hidden="false" customHeight="true" outlineLevel="0" collapsed="false">
      <c r="A13" s="23" t="s">
        <v>341</v>
      </c>
      <c r="B13" s="23" t="s">
        <v>323</v>
      </c>
      <c r="C13" s="23" t="s">
        <v>339</v>
      </c>
      <c r="D13" s="23" t="s">
        <v>342</v>
      </c>
    </row>
    <row r="14" customFormat="false" ht="15" hidden="false" customHeight="true" outlineLevel="0" collapsed="false">
      <c r="A14" s="23" t="s">
        <v>343</v>
      </c>
      <c r="B14" s="23" t="s">
        <v>323</v>
      </c>
      <c r="C14" s="23" t="s">
        <v>333</v>
      </c>
      <c r="D14" s="23" t="s">
        <v>344</v>
      </c>
    </row>
    <row r="15" customFormat="false" ht="15" hidden="false" customHeight="true" outlineLevel="0" collapsed="false">
      <c r="A15" s="23" t="s">
        <v>345</v>
      </c>
      <c r="B15" s="23" t="s">
        <v>323</v>
      </c>
      <c r="C15" s="23" t="s">
        <v>325</v>
      </c>
      <c r="D15" s="23" t="s">
        <v>346</v>
      </c>
    </row>
    <row r="16" customFormat="false" ht="15" hidden="false" customHeight="true" outlineLevel="0" collapsed="false">
      <c r="A16" s="23" t="s">
        <v>347</v>
      </c>
      <c r="B16" s="23" t="s">
        <v>323</v>
      </c>
      <c r="C16" s="23" t="s">
        <v>348</v>
      </c>
      <c r="D16" s="23" t="s">
        <v>349</v>
      </c>
    </row>
    <row r="17" customFormat="false" ht="15" hidden="false" customHeight="true" outlineLevel="0" collapsed="false">
      <c r="A17" s="23" t="s">
        <v>350</v>
      </c>
      <c r="B17" s="23" t="s">
        <v>323</v>
      </c>
      <c r="C17" s="23" t="s">
        <v>339</v>
      </c>
      <c r="D17" s="23" t="s">
        <v>351</v>
      </c>
    </row>
    <row r="18" customFormat="false" ht="15" hidden="false" customHeight="true" outlineLevel="0" collapsed="false">
      <c r="A18" s="23" t="s">
        <v>352</v>
      </c>
      <c r="B18" s="23" t="s">
        <v>323</v>
      </c>
      <c r="C18" s="23" t="s">
        <v>325</v>
      </c>
      <c r="D18" s="23" t="s">
        <v>353</v>
      </c>
    </row>
    <row r="19" customFormat="false" ht="15" hidden="false" customHeight="true" outlineLevel="0" collapsed="false">
      <c r="A19" s="23" t="s">
        <v>354</v>
      </c>
      <c r="B19" s="23" t="s">
        <v>355</v>
      </c>
      <c r="C19" s="23" t="s">
        <v>325</v>
      </c>
      <c r="D19" s="23" t="s">
        <v>356</v>
      </c>
    </row>
    <row r="20" customFormat="false" ht="15" hidden="false" customHeight="true" outlineLevel="0" collapsed="false">
      <c r="A20" s="23" t="s">
        <v>357</v>
      </c>
      <c r="B20" s="23" t="s">
        <v>355</v>
      </c>
      <c r="C20" s="23" t="s">
        <v>339</v>
      </c>
      <c r="D20" s="23" t="s">
        <v>358</v>
      </c>
    </row>
    <row r="21" customFormat="false" ht="15" hidden="false" customHeight="true" outlineLevel="0" collapsed="false">
      <c r="A21" s="23" t="s">
        <v>359</v>
      </c>
      <c r="B21" s="23" t="s">
        <v>355</v>
      </c>
      <c r="C21" s="23" t="s">
        <v>339</v>
      </c>
      <c r="D21" s="23" t="s">
        <v>360</v>
      </c>
    </row>
    <row r="22" customFormat="false" ht="15" hidden="false" customHeight="true" outlineLevel="0" collapsed="false">
      <c r="A22" s="23" t="s">
        <v>361</v>
      </c>
      <c r="B22" s="23" t="s">
        <v>355</v>
      </c>
      <c r="C22" s="23" t="s">
        <v>339</v>
      </c>
      <c r="D22" s="23" t="s">
        <v>362</v>
      </c>
    </row>
    <row r="23" customFormat="false" ht="15" hidden="false" customHeight="true" outlineLevel="0" collapsed="false">
      <c r="A23" s="23" t="s">
        <v>363</v>
      </c>
      <c r="B23" s="23" t="s">
        <v>355</v>
      </c>
      <c r="C23" s="23" t="s">
        <v>339</v>
      </c>
      <c r="D23" s="23" t="s">
        <v>364</v>
      </c>
    </row>
    <row r="24" customFormat="false" ht="15" hidden="false" customHeight="true" outlineLevel="0" collapsed="false">
      <c r="A24" s="23" t="s">
        <v>365</v>
      </c>
      <c r="B24" s="23" t="s">
        <v>355</v>
      </c>
      <c r="C24" s="23" t="s">
        <v>339</v>
      </c>
      <c r="D24" s="23" t="s">
        <v>366</v>
      </c>
    </row>
    <row r="25" customFormat="false" ht="25.5" hidden="false" customHeight="true" outlineLevel="0" collapsed="false">
      <c r="A25" s="23" t="s">
        <v>367</v>
      </c>
      <c r="B25" s="23" t="s">
        <v>355</v>
      </c>
      <c r="C25" s="23" t="s">
        <v>339</v>
      </c>
      <c r="D25" s="23" t="s">
        <v>368</v>
      </c>
    </row>
    <row r="26" customFormat="false" ht="15" hidden="false" customHeight="true" outlineLevel="0" collapsed="false">
      <c r="A26" s="23" t="s">
        <v>369</v>
      </c>
      <c r="B26" s="23" t="s">
        <v>355</v>
      </c>
      <c r="C26" s="23" t="s">
        <v>339</v>
      </c>
      <c r="D26" s="23" t="s">
        <v>370</v>
      </c>
    </row>
    <row r="27" customFormat="false" ht="15" hidden="false" customHeight="true" outlineLevel="0" collapsed="false">
      <c r="A27" s="23" t="s">
        <v>371</v>
      </c>
      <c r="B27" s="23" t="s">
        <v>355</v>
      </c>
      <c r="C27" s="23" t="s">
        <v>339</v>
      </c>
      <c r="D27" s="23" t="s">
        <v>372</v>
      </c>
    </row>
    <row r="28" customFormat="false" ht="15" hidden="false" customHeight="true" outlineLevel="0" collapsed="false">
      <c r="A28" s="23" t="s">
        <v>373</v>
      </c>
      <c r="B28" s="23" t="s">
        <v>355</v>
      </c>
      <c r="C28" s="23" t="s">
        <v>348</v>
      </c>
      <c r="D28" s="23" t="s">
        <v>374</v>
      </c>
    </row>
    <row r="29" customFormat="false" ht="15" hidden="false" customHeight="true" outlineLevel="0" collapsed="false">
      <c r="A29" s="23" t="s">
        <v>375</v>
      </c>
      <c r="B29" s="23" t="s">
        <v>355</v>
      </c>
      <c r="C29" s="23" t="s">
        <v>348</v>
      </c>
      <c r="D29" s="23" t="s">
        <v>376</v>
      </c>
    </row>
    <row r="30" customFormat="false" ht="15" hidden="false" customHeight="true" outlineLevel="0" collapsed="false">
      <c r="A30" s="23" t="s">
        <v>377</v>
      </c>
      <c r="B30" s="23" t="s">
        <v>355</v>
      </c>
      <c r="C30" s="23" t="s">
        <v>339</v>
      </c>
      <c r="D30" s="23" t="s">
        <v>378</v>
      </c>
    </row>
    <row r="31" customFormat="false" ht="15" hidden="false" customHeight="true" outlineLevel="0" collapsed="false">
      <c r="A31" s="23" t="s">
        <v>379</v>
      </c>
      <c r="B31" s="23" t="s">
        <v>355</v>
      </c>
      <c r="C31" s="23" t="s">
        <v>339</v>
      </c>
      <c r="D31" s="23" t="s">
        <v>380</v>
      </c>
    </row>
    <row r="32" customFormat="false" ht="15" hidden="false" customHeight="true" outlineLevel="0" collapsed="false">
      <c r="A32" s="23" t="s">
        <v>381</v>
      </c>
      <c r="B32" s="23" t="s">
        <v>355</v>
      </c>
      <c r="C32" s="23" t="s">
        <v>339</v>
      </c>
      <c r="D32" s="23" t="s">
        <v>382</v>
      </c>
    </row>
    <row r="33" customFormat="false" ht="15" hidden="false" customHeight="true" outlineLevel="0" collapsed="false">
      <c r="A33" s="23" t="s">
        <v>383</v>
      </c>
      <c r="B33" s="23" t="s">
        <v>355</v>
      </c>
      <c r="C33" s="23" t="s">
        <v>339</v>
      </c>
      <c r="D33" s="23" t="s">
        <v>384</v>
      </c>
    </row>
    <row r="34" customFormat="false" ht="15" hidden="false" customHeight="true" outlineLevel="0" collapsed="false">
      <c r="A34" s="23" t="s">
        <v>385</v>
      </c>
      <c r="B34" s="23" t="s">
        <v>355</v>
      </c>
      <c r="C34" s="23" t="s">
        <v>325</v>
      </c>
      <c r="D34" s="23" t="s">
        <v>386</v>
      </c>
    </row>
    <row r="35" customFormat="false" ht="15" hidden="false" customHeight="true" outlineLevel="0" collapsed="false">
      <c r="A35" s="23" t="s">
        <v>387</v>
      </c>
      <c r="B35" s="23" t="s">
        <v>355</v>
      </c>
      <c r="C35" s="23" t="s">
        <v>325</v>
      </c>
      <c r="D35" s="23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6" t="s">
        <v>389</v>
      </c>
    </row>
    <row r="2" customFormat="false" ht="15" hidden="false" customHeight="false" outlineLevel="0" collapsed="false">
      <c r="A2" s="2" t="s">
        <v>390</v>
      </c>
    </row>
    <row r="4" customFormat="false" ht="30" hidden="false" customHeight="true" outlineLevel="0" collapsed="false">
      <c r="A4" s="7" t="s">
        <v>322</v>
      </c>
      <c r="B4" s="7" t="s">
        <v>71</v>
      </c>
      <c r="C4" s="7" t="s">
        <v>72</v>
      </c>
      <c r="D4" s="7" t="s">
        <v>328</v>
      </c>
      <c r="E4" s="7" t="s">
        <v>330</v>
      </c>
      <c r="F4" s="7" t="s">
        <v>332</v>
      </c>
      <c r="G4" s="7" t="s">
        <v>232</v>
      </c>
      <c r="H4" s="7" t="s">
        <v>336</v>
      </c>
      <c r="I4" s="7" t="s">
        <v>338</v>
      </c>
      <c r="J4" s="7" t="s">
        <v>341</v>
      </c>
      <c r="K4" s="7" t="s">
        <v>343</v>
      </c>
      <c r="L4" s="7" t="s">
        <v>345</v>
      </c>
      <c r="M4" s="7" t="s">
        <v>347</v>
      </c>
      <c r="N4" s="7" t="s">
        <v>350</v>
      </c>
      <c r="O4" s="7" t="s">
        <v>352</v>
      </c>
    </row>
    <row r="5" customFormat="false" ht="15" hidden="false" customHeight="false" outlineLevel="0" collapsed="false">
      <c r="A5" s="3" t="s">
        <v>391</v>
      </c>
      <c r="B5" s="3" t="s">
        <v>85</v>
      </c>
      <c r="C5" s="3" t="s">
        <v>86</v>
      </c>
      <c r="D5" s="3" t="s">
        <v>392</v>
      </c>
      <c r="E5" s="3" t="s">
        <v>393</v>
      </c>
      <c r="F5" s="3" t="n">
        <v>231</v>
      </c>
      <c r="G5" s="3" t="n">
        <v>127</v>
      </c>
      <c r="H5" s="3" t="n">
        <v>55</v>
      </c>
      <c r="I5" s="3" t="n">
        <v>135.47</v>
      </c>
      <c r="J5" s="3" t="n">
        <v>33.5</v>
      </c>
      <c r="K5" s="3" t="n">
        <v>20</v>
      </c>
      <c r="L5" s="3" t="s">
        <v>394</v>
      </c>
      <c r="M5" s="3" t="n">
        <v>0</v>
      </c>
      <c r="N5" s="3" t="n">
        <v>29.69</v>
      </c>
      <c r="O5" s="3" t="s">
        <v>395</v>
      </c>
    </row>
    <row r="6" customFormat="false" ht="15" hidden="false" customHeight="false" outlineLevel="0" collapsed="false">
      <c r="A6" s="3" t="s">
        <v>391</v>
      </c>
      <c r="B6" s="3" t="s">
        <v>85</v>
      </c>
      <c r="C6" s="3" t="s">
        <v>88</v>
      </c>
      <c r="D6" s="3" t="s">
        <v>396</v>
      </c>
      <c r="E6" s="3" t="s">
        <v>397</v>
      </c>
      <c r="F6" s="3" t="n">
        <v>204</v>
      </c>
      <c r="G6" s="3" t="n">
        <v>150</v>
      </c>
      <c r="H6" s="3" t="n">
        <v>66</v>
      </c>
      <c r="I6" s="3" t="n">
        <v>144.04</v>
      </c>
      <c r="J6" s="3" t="n">
        <v>63.01</v>
      </c>
      <c r="K6" s="3" t="n">
        <v>20</v>
      </c>
      <c r="L6" s="3" t="s">
        <v>398</v>
      </c>
      <c r="M6" s="3" t="n">
        <v>0</v>
      </c>
      <c r="N6" s="3" t="n">
        <v>66.16</v>
      </c>
      <c r="O6" s="3" t="s">
        <v>395</v>
      </c>
    </row>
    <row r="7" customFormat="false" ht="15" hidden="false" customHeight="false" outlineLevel="0" collapsed="false">
      <c r="A7" s="3" t="s">
        <v>391</v>
      </c>
      <c r="B7" s="3" t="s">
        <v>85</v>
      </c>
      <c r="C7" s="3" t="s">
        <v>90</v>
      </c>
      <c r="D7" s="3" t="s">
        <v>396</v>
      </c>
      <c r="E7" s="3" t="s">
        <v>399</v>
      </c>
      <c r="F7" s="3" t="n">
        <v>102</v>
      </c>
      <c r="G7" s="3" t="n">
        <v>65</v>
      </c>
      <c r="H7" s="3" t="n">
        <v>51</v>
      </c>
      <c r="I7" s="3" t="n">
        <v>74.02</v>
      </c>
      <c r="J7" s="3" t="n">
        <v>27.99</v>
      </c>
      <c r="K7" s="3" t="n">
        <v>10</v>
      </c>
      <c r="L7" s="3" t="s">
        <v>398</v>
      </c>
      <c r="M7" s="3" t="n">
        <v>1</v>
      </c>
      <c r="N7" s="3" t="n">
        <v>31.32</v>
      </c>
      <c r="O7" s="3" t="s">
        <v>400</v>
      </c>
    </row>
    <row r="8" customFormat="false" ht="15" hidden="false" customHeight="false" outlineLevel="0" collapsed="false">
      <c r="A8" s="3" t="s">
        <v>391</v>
      </c>
      <c r="B8" s="3" t="s">
        <v>85</v>
      </c>
      <c r="C8" s="3" t="s">
        <v>92</v>
      </c>
      <c r="D8" s="3" t="s">
        <v>396</v>
      </c>
      <c r="E8" s="3" t="s">
        <v>393</v>
      </c>
      <c r="F8" s="3" t="n">
        <v>469</v>
      </c>
      <c r="G8" s="3" t="n">
        <v>61</v>
      </c>
      <c r="H8" s="3" t="n">
        <v>164</v>
      </c>
      <c r="I8" s="3" t="n">
        <v>62.18</v>
      </c>
      <c r="J8" s="3" t="n">
        <v>32.72</v>
      </c>
      <c r="K8" s="3" t="n">
        <v>10</v>
      </c>
      <c r="L8" s="3" t="s">
        <v>401</v>
      </c>
      <c r="M8" s="3" t="n">
        <v>1</v>
      </c>
      <c r="N8" s="3" t="n">
        <v>34.74</v>
      </c>
      <c r="O8" s="3" t="s">
        <v>395</v>
      </c>
    </row>
    <row r="9" customFormat="false" ht="15" hidden="false" customHeight="false" outlineLevel="0" collapsed="false">
      <c r="A9" s="3" t="s">
        <v>391</v>
      </c>
      <c r="B9" s="3" t="s">
        <v>85</v>
      </c>
      <c r="C9" s="3" t="s">
        <v>94</v>
      </c>
      <c r="D9" s="3" t="s">
        <v>402</v>
      </c>
      <c r="E9" s="3" t="s">
        <v>403</v>
      </c>
      <c r="F9" s="3" t="n">
        <v>166</v>
      </c>
      <c r="G9" s="3" t="n">
        <v>14</v>
      </c>
      <c r="H9" s="3" t="n">
        <v>135</v>
      </c>
      <c r="I9" s="3" t="n">
        <v>9.26</v>
      </c>
      <c r="J9" s="3" t="n">
        <v>73.64</v>
      </c>
      <c r="K9" s="3" t="n">
        <v>0</v>
      </c>
      <c r="L9" s="3" t="s">
        <v>398</v>
      </c>
      <c r="M9" s="3" t="n">
        <v>0</v>
      </c>
      <c r="N9" s="3" t="n">
        <v>68.95</v>
      </c>
      <c r="O9" s="3" t="s">
        <v>400</v>
      </c>
    </row>
    <row r="10" customFormat="false" ht="15" hidden="false" customHeight="false" outlineLevel="0" collapsed="false">
      <c r="A10" s="3" t="s">
        <v>391</v>
      </c>
      <c r="B10" s="3" t="s">
        <v>85</v>
      </c>
      <c r="C10" s="3" t="s">
        <v>96</v>
      </c>
      <c r="D10" s="3" t="s">
        <v>392</v>
      </c>
      <c r="E10" s="3" t="s">
        <v>397</v>
      </c>
      <c r="F10" s="3" t="n">
        <v>138</v>
      </c>
      <c r="G10" s="3" t="n">
        <v>128</v>
      </c>
      <c r="H10" s="3" t="n">
        <v>102</v>
      </c>
      <c r="I10" s="3" t="n">
        <v>139.82</v>
      </c>
      <c r="J10" s="3" t="n">
        <v>76.83</v>
      </c>
      <c r="K10" s="3" t="n">
        <v>10</v>
      </c>
      <c r="L10" s="3" t="s">
        <v>398</v>
      </c>
      <c r="M10" s="3" t="n">
        <v>1</v>
      </c>
      <c r="N10" s="3" t="n">
        <v>79.35</v>
      </c>
      <c r="O10" s="3" t="s">
        <v>404</v>
      </c>
    </row>
    <row r="11" customFormat="false" ht="15" hidden="false" customHeight="false" outlineLevel="0" collapsed="false">
      <c r="A11" s="3" t="s">
        <v>391</v>
      </c>
      <c r="B11" s="3" t="s">
        <v>85</v>
      </c>
      <c r="C11" s="3" t="s">
        <v>98</v>
      </c>
      <c r="D11" s="3" t="s">
        <v>405</v>
      </c>
      <c r="E11" s="3" t="s">
        <v>403</v>
      </c>
      <c r="F11" s="3" t="n">
        <v>359</v>
      </c>
      <c r="G11" s="3" t="n">
        <v>97</v>
      </c>
      <c r="H11" s="3" t="n">
        <v>167</v>
      </c>
      <c r="I11" s="3" t="n">
        <v>108.92</v>
      </c>
      <c r="J11" s="3" t="n">
        <v>34.16</v>
      </c>
      <c r="K11" s="3" t="n">
        <v>10</v>
      </c>
      <c r="L11" s="3" t="s">
        <v>394</v>
      </c>
      <c r="M11" s="3" t="n">
        <v>1</v>
      </c>
      <c r="N11" s="3" t="n">
        <v>36.55</v>
      </c>
      <c r="O11" s="3" t="s">
        <v>404</v>
      </c>
    </row>
    <row r="12" customFormat="false" ht="15" hidden="false" customHeight="false" outlineLevel="0" collapsed="false">
      <c r="A12" s="3" t="s">
        <v>391</v>
      </c>
      <c r="B12" s="3" t="s">
        <v>85</v>
      </c>
      <c r="C12" s="3" t="s">
        <v>100</v>
      </c>
      <c r="D12" s="3" t="s">
        <v>406</v>
      </c>
      <c r="E12" s="3" t="s">
        <v>393</v>
      </c>
      <c r="F12" s="3" t="n">
        <v>380</v>
      </c>
      <c r="G12" s="3" t="n">
        <v>312</v>
      </c>
      <c r="H12" s="3" t="n">
        <v>54</v>
      </c>
      <c r="I12" s="3" t="n">
        <v>329.73</v>
      </c>
      <c r="J12" s="3" t="n">
        <v>97.99</v>
      </c>
      <c r="K12" s="3" t="n">
        <v>5</v>
      </c>
      <c r="L12" s="3" t="s">
        <v>401</v>
      </c>
      <c r="M12" s="3" t="n">
        <v>0</v>
      </c>
      <c r="N12" s="3" t="n">
        <v>100.09</v>
      </c>
      <c r="O12" s="3" t="s">
        <v>407</v>
      </c>
    </row>
    <row r="13" customFormat="false" ht="15" hidden="false" customHeight="false" outlineLevel="0" collapsed="false">
      <c r="A13" s="3" t="s">
        <v>391</v>
      </c>
      <c r="B13" s="3" t="s">
        <v>85</v>
      </c>
      <c r="C13" s="3" t="s">
        <v>102</v>
      </c>
      <c r="D13" s="3" t="s">
        <v>402</v>
      </c>
      <c r="E13" s="3" t="s">
        <v>399</v>
      </c>
      <c r="F13" s="3" t="n">
        <v>183</v>
      </c>
      <c r="G13" s="3" t="n">
        <v>175</v>
      </c>
      <c r="H13" s="3" t="n">
        <v>135</v>
      </c>
      <c r="I13" s="3" t="n">
        <v>174.15</v>
      </c>
      <c r="J13" s="3" t="n">
        <v>20.74</v>
      </c>
      <c r="K13" s="3" t="n">
        <v>10</v>
      </c>
      <c r="L13" s="3" t="s">
        <v>401</v>
      </c>
      <c r="M13" s="3" t="n">
        <v>0</v>
      </c>
      <c r="N13" s="3" t="n">
        <v>17.66</v>
      </c>
      <c r="O13" s="3" t="s">
        <v>395</v>
      </c>
    </row>
    <row r="14" customFormat="false" ht="15" hidden="false" customHeight="false" outlineLevel="0" collapsed="false">
      <c r="A14" s="3" t="s">
        <v>391</v>
      </c>
      <c r="B14" s="3" t="s">
        <v>85</v>
      </c>
      <c r="C14" s="3" t="s">
        <v>104</v>
      </c>
      <c r="D14" s="3" t="s">
        <v>396</v>
      </c>
      <c r="E14" s="3" t="s">
        <v>397</v>
      </c>
      <c r="F14" s="3" t="n">
        <v>108</v>
      </c>
      <c r="G14" s="3" t="n">
        <v>28</v>
      </c>
      <c r="H14" s="3" t="n">
        <v>196</v>
      </c>
      <c r="I14" s="3" t="n">
        <v>24.47</v>
      </c>
      <c r="J14" s="3" t="n">
        <v>59.99</v>
      </c>
      <c r="K14" s="3" t="n">
        <v>0</v>
      </c>
      <c r="L14" s="3" t="s">
        <v>394</v>
      </c>
      <c r="M14" s="3" t="n">
        <v>1</v>
      </c>
      <c r="N14" s="3" t="n">
        <v>61.21</v>
      </c>
      <c r="O14" s="3" t="s">
        <v>404</v>
      </c>
    </row>
    <row r="15" customFormat="false" ht="15" hidden="false" customHeight="false" outlineLevel="0" collapsed="false">
      <c r="A15" s="3" t="s">
        <v>391</v>
      </c>
      <c r="B15" s="3" t="s">
        <v>85</v>
      </c>
      <c r="C15" s="3" t="s">
        <v>106</v>
      </c>
      <c r="D15" s="3" t="s">
        <v>405</v>
      </c>
      <c r="E15" s="3" t="s">
        <v>397</v>
      </c>
      <c r="F15" s="3" t="n">
        <v>258</v>
      </c>
      <c r="G15" s="3" t="n">
        <v>150</v>
      </c>
      <c r="H15" s="3" t="n">
        <v>153</v>
      </c>
      <c r="I15" s="3" t="n">
        <v>152.74</v>
      </c>
      <c r="J15" s="3" t="n">
        <v>58.53</v>
      </c>
      <c r="K15" s="3" t="n">
        <v>10</v>
      </c>
      <c r="L15" s="3" t="s">
        <v>398</v>
      </c>
      <c r="M15" s="3" t="n">
        <v>1</v>
      </c>
      <c r="N15" s="3" t="n">
        <v>61.42</v>
      </c>
      <c r="O15" s="3" t="s">
        <v>407</v>
      </c>
    </row>
    <row r="16" customFormat="false" ht="15" hidden="false" customHeight="false" outlineLevel="0" collapsed="false">
      <c r="A16" s="3" t="s">
        <v>391</v>
      </c>
      <c r="B16" s="3" t="s">
        <v>85</v>
      </c>
      <c r="C16" s="3" t="s">
        <v>108</v>
      </c>
      <c r="D16" s="3" t="s">
        <v>406</v>
      </c>
      <c r="E16" s="3" t="s">
        <v>399</v>
      </c>
      <c r="F16" s="3" t="n">
        <v>66</v>
      </c>
      <c r="G16" s="3" t="n">
        <v>24</v>
      </c>
      <c r="H16" s="3" t="n">
        <v>70</v>
      </c>
      <c r="I16" s="3" t="n">
        <v>26.75</v>
      </c>
      <c r="J16" s="3" t="n">
        <v>58.25</v>
      </c>
      <c r="K16" s="3" t="n">
        <v>20</v>
      </c>
      <c r="L16" s="3" t="s">
        <v>408</v>
      </c>
      <c r="M16" s="3" t="n">
        <v>0</v>
      </c>
      <c r="N16" s="3" t="n">
        <v>62.21</v>
      </c>
      <c r="O16" s="3" t="s">
        <v>407</v>
      </c>
    </row>
    <row r="17" customFormat="false" ht="15" hidden="false" customHeight="false" outlineLevel="0" collapsed="false">
      <c r="A17" s="3" t="s">
        <v>391</v>
      </c>
      <c r="B17" s="3" t="s">
        <v>85</v>
      </c>
      <c r="C17" s="3" t="s">
        <v>110</v>
      </c>
      <c r="D17" s="3" t="s">
        <v>396</v>
      </c>
      <c r="E17" s="3" t="s">
        <v>397</v>
      </c>
      <c r="F17" s="3" t="n">
        <v>96</v>
      </c>
      <c r="G17" s="3" t="n">
        <v>42</v>
      </c>
      <c r="H17" s="3" t="n">
        <v>85</v>
      </c>
      <c r="I17" s="3" t="n">
        <v>41.46</v>
      </c>
      <c r="J17" s="3" t="n">
        <v>43.6</v>
      </c>
      <c r="K17" s="3" t="n">
        <v>0</v>
      </c>
      <c r="L17" s="3" t="s">
        <v>401</v>
      </c>
      <c r="M17" s="3" t="n">
        <v>0</v>
      </c>
      <c r="N17" s="3" t="n">
        <v>46.31</v>
      </c>
      <c r="O17" s="3" t="s">
        <v>407</v>
      </c>
    </row>
    <row r="18" customFormat="false" ht="15" hidden="false" customHeight="false" outlineLevel="0" collapsed="false">
      <c r="A18" s="3" t="s">
        <v>391</v>
      </c>
      <c r="B18" s="3" t="s">
        <v>85</v>
      </c>
      <c r="C18" s="3" t="s">
        <v>112</v>
      </c>
      <c r="D18" s="3" t="s">
        <v>406</v>
      </c>
      <c r="E18" s="3" t="s">
        <v>399</v>
      </c>
      <c r="F18" s="3" t="n">
        <v>193</v>
      </c>
      <c r="G18" s="3" t="n">
        <v>12</v>
      </c>
      <c r="H18" s="3" t="n">
        <v>187</v>
      </c>
      <c r="I18" s="3" t="n">
        <v>6.8</v>
      </c>
      <c r="J18" s="3" t="n">
        <v>78.11</v>
      </c>
      <c r="K18" s="3" t="n">
        <v>0</v>
      </c>
      <c r="L18" s="3" t="s">
        <v>398</v>
      </c>
      <c r="M18" s="3" t="n">
        <v>0</v>
      </c>
      <c r="N18" s="3" t="n">
        <v>80.06</v>
      </c>
      <c r="O18" s="3" t="s">
        <v>407</v>
      </c>
    </row>
    <row r="19" customFormat="false" ht="15" hidden="false" customHeight="false" outlineLevel="0" collapsed="false">
      <c r="A19" s="3" t="s">
        <v>391</v>
      </c>
      <c r="B19" s="3" t="s">
        <v>85</v>
      </c>
      <c r="C19" s="3" t="s">
        <v>114</v>
      </c>
      <c r="D19" s="3" t="s">
        <v>406</v>
      </c>
      <c r="E19" s="3" t="s">
        <v>393</v>
      </c>
      <c r="F19" s="3" t="n">
        <v>379</v>
      </c>
      <c r="G19" s="3" t="n">
        <v>369</v>
      </c>
      <c r="H19" s="3" t="n">
        <v>154</v>
      </c>
      <c r="I19" s="3" t="n">
        <v>363.46</v>
      </c>
      <c r="J19" s="3" t="n">
        <v>92.99</v>
      </c>
      <c r="K19" s="3" t="n">
        <v>15</v>
      </c>
      <c r="L19" s="3" t="s">
        <v>408</v>
      </c>
      <c r="M19" s="3" t="n">
        <v>0</v>
      </c>
      <c r="N19" s="3" t="n">
        <v>95.8</v>
      </c>
      <c r="O19" s="3" t="s">
        <v>404</v>
      </c>
    </row>
    <row r="20" customFormat="false" ht="15" hidden="false" customHeight="false" outlineLevel="0" collapsed="false">
      <c r="A20" s="3" t="s">
        <v>391</v>
      </c>
      <c r="B20" s="3" t="s">
        <v>85</v>
      </c>
      <c r="C20" s="3" t="s">
        <v>116</v>
      </c>
      <c r="D20" s="3" t="s">
        <v>402</v>
      </c>
      <c r="E20" s="3" t="s">
        <v>393</v>
      </c>
      <c r="F20" s="3" t="n">
        <v>363</v>
      </c>
      <c r="G20" s="3" t="n">
        <v>255</v>
      </c>
      <c r="H20" s="3" t="n">
        <v>69</v>
      </c>
      <c r="I20" s="3" t="n">
        <v>255.74</v>
      </c>
      <c r="J20" s="3" t="n">
        <v>21.9</v>
      </c>
      <c r="K20" s="3" t="n">
        <v>5</v>
      </c>
      <c r="L20" s="3" t="s">
        <v>401</v>
      </c>
      <c r="M20" s="3" t="n">
        <v>1</v>
      </c>
      <c r="N20" s="3" t="n">
        <v>20.27</v>
      </c>
      <c r="O20" s="3" t="s">
        <v>395</v>
      </c>
    </row>
    <row r="21" customFormat="false" ht="15" hidden="false" customHeight="false" outlineLevel="0" collapsed="false">
      <c r="A21" s="3" t="s">
        <v>391</v>
      </c>
      <c r="B21" s="3" t="s">
        <v>85</v>
      </c>
      <c r="C21" s="3" t="s">
        <v>118</v>
      </c>
      <c r="D21" s="3" t="s">
        <v>396</v>
      </c>
      <c r="E21" s="3" t="s">
        <v>399</v>
      </c>
      <c r="F21" s="3" t="n">
        <v>318</v>
      </c>
      <c r="G21" s="3" t="n">
        <v>246</v>
      </c>
      <c r="H21" s="3" t="n">
        <v>177</v>
      </c>
      <c r="I21" s="3" t="n">
        <v>255.37</v>
      </c>
      <c r="J21" s="3" t="n">
        <v>21.07</v>
      </c>
      <c r="K21" s="3" t="n">
        <v>20</v>
      </c>
      <c r="L21" s="3" t="s">
        <v>398</v>
      </c>
      <c r="M21" s="3" t="n">
        <v>0</v>
      </c>
      <c r="N21" s="3" t="n">
        <v>16.49</v>
      </c>
      <c r="O21" s="3" t="s">
        <v>404</v>
      </c>
    </row>
    <row r="22" customFormat="false" ht="15" hidden="false" customHeight="false" outlineLevel="0" collapsed="false">
      <c r="A22" s="3" t="s">
        <v>391</v>
      </c>
      <c r="B22" s="3" t="s">
        <v>85</v>
      </c>
      <c r="C22" s="3" t="s">
        <v>120</v>
      </c>
      <c r="D22" s="3" t="s">
        <v>406</v>
      </c>
      <c r="E22" s="3" t="s">
        <v>397</v>
      </c>
      <c r="F22" s="3" t="n">
        <v>241</v>
      </c>
      <c r="G22" s="3" t="n">
        <v>151</v>
      </c>
      <c r="H22" s="3" t="n">
        <v>47</v>
      </c>
      <c r="I22" s="3" t="n">
        <v>147.27</v>
      </c>
      <c r="J22" s="3" t="n">
        <v>19.57</v>
      </c>
      <c r="K22" s="3" t="n">
        <v>5</v>
      </c>
      <c r="L22" s="3" t="s">
        <v>401</v>
      </c>
      <c r="M22" s="3" t="n">
        <v>0</v>
      </c>
      <c r="N22" s="3" t="n">
        <v>23.13</v>
      </c>
      <c r="O22" s="3" t="s">
        <v>395</v>
      </c>
    </row>
    <row r="23" customFormat="false" ht="15" hidden="false" customHeight="false" outlineLevel="0" collapsed="false">
      <c r="A23" s="3" t="s">
        <v>391</v>
      </c>
      <c r="B23" s="3" t="s">
        <v>85</v>
      </c>
      <c r="C23" s="3" t="s">
        <v>122</v>
      </c>
      <c r="D23" s="3" t="s">
        <v>406</v>
      </c>
      <c r="E23" s="3" t="s">
        <v>403</v>
      </c>
      <c r="F23" s="3" t="n">
        <v>352</v>
      </c>
      <c r="G23" s="3" t="n">
        <v>257</v>
      </c>
      <c r="H23" s="3" t="n">
        <v>186</v>
      </c>
      <c r="I23" s="3" t="n">
        <v>267.38</v>
      </c>
      <c r="J23" s="3" t="n">
        <v>73.28</v>
      </c>
      <c r="K23" s="3" t="n">
        <v>10</v>
      </c>
      <c r="L23" s="3" t="s">
        <v>401</v>
      </c>
      <c r="M23" s="3" t="n">
        <v>0</v>
      </c>
      <c r="N23" s="3" t="n">
        <v>77.26</v>
      </c>
      <c r="O23" s="3" t="s">
        <v>404</v>
      </c>
    </row>
    <row r="24" customFormat="false" ht="15" hidden="false" customHeight="false" outlineLevel="0" collapsed="false">
      <c r="A24" s="3" t="s">
        <v>391</v>
      </c>
      <c r="B24" s="3" t="s">
        <v>85</v>
      </c>
      <c r="C24" s="3" t="s">
        <v>124</v>
      </c>
      <c r="D24" s="3" t="s">
        <v>396</v>
      </c>
      <c r="E24" s="3" t="s">
        <v>403</v>
      </c>
      <c r="F24" s="3" t="n">
        <v>274</v>
      </c>
      <c r="G24" s="3" t="n">
        <v>99</v>
      </c>
      <c r="H24" s="3" t="n">
        <v>166</v>
      </c>
      <c r="I24" s="3" t="n">
        <v>115.23</v>
      </c>
      <c r="J24" s="3" t="n">
        <v>30.24</v>
      </c>
      <c r="K24" s="3" t="n">
        <v>5</v>
      </c>
      <c r="L24" s="3" t="s">
        <v>401</v>
      </c>
      <c r="M24" s="3" t="n">
        <v>0</v>
      </c>
      <c r="N24" s="3" t="n">
        <v>27.1</v>
      </c>
      <c r="O24" s="3" t="s">
        <v>407</v>
      </c>
    </row>
    <row r="25" customFormat="false" ht="15" hidden="false" customHeight="false" outlineLevel="0" collapsed="false">
      <c r="A25" s="3" t="s">
        <v>391</v>
      </c>
      <c r="B25" s="3" t="s">
        <v>126</v>
      </c>
      <c r="C25" s="3" t="s">
        <v>86</v>
      </c>
      <c r="D25" s="3" t="s">
        <v>392</v>
      </c>
      <c r="E25" s="3" t="s">
        <v>397</v>
      </c>
      <c r="F25" s="3" t="n">
        <v>343</v>
      </c>
      <c r="G25" s="3" t="n">
        <v>104</v>
      </c>
      <c r="H25" s="3" t="n">
        <v>144</v>
      </c>
      <c r="I25" s="3" t="n">
        <v>112.55</v>
      </c>
      <c r="J25" s="3" t="n">
        <v>32.8</v>
      </c>
      <c r="K25" s="3" t="n">
        <v>20</v>
      </c>
      <c r="L25" s="3" t="s">
        <v>398</v>
      </c>
      <c r="M25" s="3" t="n">
        <v>1</v>
      </c>
      <c r="N25" s="3" t="n">
        <v>30.78</v>
      </c>
      <c r="O25" s="3" t="s">
        <v>407</v>
      </c>
    </row>
    <row r="26" customFormat="false" ht="15" hidden="false" customHeight="false" outlineLevel="0" collapsed="false">
      <c r="A26" s="3" t="s">
        <v>391</v>
      </c>
      <c r="B26" s="3" t="s">
        <v>126</v>
      </c>
      <c r="C26" s="3" t="s">
        <v>88</v>
      </c>
      <c r="D26" s="3" t="s">
        <v>406</v>
      </c>
      <c r="E26" s="3" t="s">
        <v>399</v>
      </c>
      <c r="F26" s="3" t="n">
        <v>373</v>
      </c>
      <c r="G26" s="3" t="n">
        <v>141</v>
      </c>
      <c r="H26" s="3" t="n">
        <v>151</v>
      </c>
      <c r="I26" s="3" t="n">
        <v>135.62</v>
      </c>
      <c r="J26" s="3" t="n">
        <v>46.16</v>
      </c>
      <c r="K26" s="3" t="n">
        <v>10</v>
      </c>
      <c r="L26" s="3" t="s">
        <v>394</v>
      </c>
      <c r="M26" s="3" t="n">
        <v>1</v>
      </c>
      <c r="N26" s="3" t="n">
        <v>45.21</v>
      </c>
      <c r="O26" s="3" t="s">
        <v>404</v>
      </c>
    </row>
    <row r="27" customFormat="false" ht="15" hidden="false" customHeight="false" outlineLevel="0" collapsed="false">
      <c r="A27" s="3" t="s">
        <v>391</v>
      </c>
      <c r="B27" s="3" t="s">
        <v>126</v>
      </c>
      <c r="C27" s="3" t="s">
        <v>90</v>
      </c>
      <c r="D27" s="3" t="s">
        <v>405</v>
      </c>
      <c r="E27" s="3" t="s">
        <v>403</v>
      </c>
      <c r="F27" s="3" t="n">
        <v>445</v>
      </c>
      <c r="G27" s="3" t="n">
        <v>182</v>
      </c>
      <c r="H27" s="3" t="n">
        <v>119</v>
      </c>
      <c r="I27" s="3" t="n">
        <v>176.31</v>
      </c>
      <c r="J27" s="3" t="n">
        <v>20.46</v>
      </c>
      <c r="K27" s="3" t="n">
        <v>20</v>
      </c>
      <c r="L27" s="3" t="s">
        <v>408</v>
      </c>
      <c r="M27" s="3" t="n">
        <v>1</v>
      </c>
      <c r="N27" s="3" t="n">
        <v>22</v>
      </c>
      <c r="O27" s="3" t="s">
        <v>407</v>
      </c>
    </row>
    <row r="28" customFormat="false" ht="15" hidden="false" customHeight="false" outlineLevel="0" collapsed="false">
      <c r="A28" s="3" t="s">
        <v>391</v>
      </c>
      <c r="B28" s="3" t="s">
        <v>126</v>
      </c>
      <c r="C28" s="3" t="s">
        <v>92</v>
      </c>
      <c r="D28" s="3" t="s">
        <v>396</v>
      </c>
      <c r="E28" s="3" t="s">
        <v>399</v>
      </c>
      <c r="F28" s="3" t="n">
        <v>191</v>
      </c>
      <c r="G28" s="3" t="n">
        <v>63</v>
      </c>
      <c r="H28" s="3" t="n">
        <v>115</v>
      </c>
      <c r="I28" s="3" t="n">
        <v>54.57</v>
      </c>
      <c r="J28" s="3" t="n">
        <v>26.19</v>
      </c>
      <c r="K28" s="3" t="n">
        <v>0</v>
      </c>
      <c r="L28" s="3" t="s">
        <v>401</v>
      </c>
      <c r="M28" s="3" t="n">
        <v>0</v>
      </c>
      <c r="N28" s="3" t="n">
        <v>28.06</v>
      </c>
      <c r="O28" s="3" t="s">
        <v>395</v>
      </c>
    </row>
    <row r="29" customFormat="false" ht="15" hidden="false" customHeight="false" outlineLevel="0" collapsed="false">
      <c r="A29" s="3" t="s">
        <v>391</v>
      </c>
      <c r="B29" s="3" t="s">
        <v>126</v>
      </c>
      <c r="C29" s="3" t="s">
        <v>94</v>
      </c>
      <c r="D29" s="3" t="s">
        <v>396</v>
      </c>
      <c r="E29" s="3" t="s">
        <v>399</v>
      </c>
      <c r="F29" s="3" t="n">
        <v>281</v>
      </c>
      <c r="G29" s="3" t="n">
        <v>156</v>
      </c>
      <c r="H29" s="3" t="n">
        <v>25</v>
      </c>
      <c r="I29" s="3" t="n">
        <v>150.9</v>
      </c>
      <c r="J29" s="3" t="n">
        <v>83.29</v>
      </c>
      <c r="K29" s="3" t="n">
        <v>20</v>
      </c>
      <c r="L29" s="3" t="s">
        <v>394</v>
      </c>
      <c r="M29" s="3" t="n">
        <v>0</v>
      </c>
      <c r="N29" s="3" t="n">
        <v>80.64</v>
      </c>
      <c r="O29" s="3" t="s">
        <v>395</v>
      </c>
    </row>
    <row r="30" customFormat="false" ht="15" hidden="false" customHeight="false" outlineLevel="0" collapsed="false">
      <c r="A30" s="3" t="s">
        <v>391</v>
      </c>
      <c r="B30" s="3" t="s">
        <v>126</v>
      </c>
      <c r="C30" s="3" t="s">
        <v>96</v>
      </c>
      <c r="D30" s="3" t="s">
        <v>405</v>
      </c>
      <c r="E30" s="3" t="s">
        <v>393</v>
      </c>
      <c r="F30" s="3" t="n">
        <v>492</v>
      </c>
      <c r="G30" s="3" t="n">
        <v>250</v>
      </c>
      <c r="H30" s="3" t="n">
        <v>168</v>
      </c>
      <c r="I30" s="3" t="n">
        <v>242.57</v>
      </c>
      <c r="J30" s="3" t="n">
        <v>85.59</v>
      </c>
      <c r="K30" s="3" t="n">
        <v>20</v>
      </c>
      <c r="L30" s="3" t="s">
        <v>401</v>
      </c>
      <c r="M30" s="3" t="n">
        <v>0</v>
      </c>
      <c r="N30" s="3" t="n">
        <v>86.82</v>
      </c>
      <c r="O30" s="3" t="s">
        <v>404</v>
      </c>
    </row>
    <row r="31" customFormat="false" ht="15" hidden="false" customHeight="false" outlineLevel="0" collapsed="false">
      <c r="A31" s="3" t="s">
        <v>391</v>
      </c>
      <c r="B31" s="3" t="s">
        <v>126</v>
      </c>
      <c r="C31" s="3" t="s">
        <v>98</v>
      </c>
      <c r="D31" s="3" t="s">
        <v>392</v>
      </c>
      <c r="E31" s="3" t="s">
        <v>399</v>
      </c>
      <c r="F31" s="3" t="n">
        <v>460</v>
      </c>
      <c r="G31" s="3" t="n">
        <v>393</v>
      </c>
      <c r="H31" s="3" t="n">
        <v>70</v>
      </c>
      <c r="I31" s="3" t="n">
        <v>401.48</v>
      </c>
      <c r="J31" s="3" t="n">
        <v>91.13</v>
      </c>
      <c r="K31" s="3" t="n">
        <v>5</v>
      </c>
      <c r="L31" s="3" t="s">
        <v>398</v>
      </c>
      <c r="M31" s="3" t="n">
        <v>0</v>
      </c>
      <c r="N31" s="3" t="n">
        <v>93.33</v>
      </c>
      <c r="O31" s="3" t="s">
        <v>400</v>
      </c>
    </row>
    <row r="32" customFormat="false" ht="15" hidden="false" customHeight="false" outlineLevel="0" collapsed="false">
      <c r="A32" s="3" t="s">
        <v>391</v>
      </c>
      <c r="B32" s="3" t="s">
        <v>126</v>
      </c>
      <c r="C32" s="3" t="s">
        <v>100</v>
      </c>
      <c r="D32" s="3" t="s">
        <v>402</v>
      </c>
      <c r="E32" s="3" t="s">
        <v>399</v>
      </c>
      <c r="F32" s="3" t="n">
        <v>304</v>
      </c>
      <c r="G32" s="3" t="n">
        <v>29</v>
      </c>
      <c r="H32" s="3" t="n">
        <v>99</v>
      </c>
      <c r="I32" s="3" t="n">
        <v>35.54</v>
      </c>
      <c r="J32" s="3" t="n">
        <v>66.96</v>
      </c>
      <c r="K32" s="3" t="n">
        <v>20</v>
      </c>
      <c r="L32" s="3" t="s">
        <v>408</v>
      </c>
      <c r="M32" s="3" t="n">
        <v>0</v>
      </c>
      <c r="N32" s="3" t="n">
        <v>65.36</v>
      </c>
      <c r="O32" s="3" t="s">
        <v>400</v>
      </c>
    </row>
    <row r="33" customFormat="false" ht="15" hidden="false" customHeight="false" outlineLevel="0" collapsed="false">
      <c r="A33" s="3" t="s">
        <v>391</v>
      </c>
      <c r="B33" s="3" t="s">
        <v>126</v>
      </c>
      <c r="C33" s="3" t="s">
        <v>102</v>
      </c>
      <c r="D33" s="3" t="s">
        <v>406</v>
      </c>
      <c r="E33" s="3" t="s">
        <v>397</v>
      </c>
      <c r="F33" s="3" t="n">
        <v>113</v>
      </c>
      <c r="G33" s="3" t="n">
        <v>9</v>
      </c>
      <c r="H33" s="3" t="n">
        <v>84</v>
      </c>
      <c r="I33" s="3" t="n">
        <v>14.78</v>
      </c>
      <c r="J33" s="3" t="n">
        <v>81.29</v>
      </c>
      <c r="K33" s="3" t="n">
        <v>5</v>
      </c>
      <c r="L33" s="3" t="s">
        <v>394</v>
      </c>
      <c r="M33" s="3" t="n">
        <v>1</v>
      </c>
      <c r="N33" s="3" t="n">
        <v>82.06</v>
      </c>
      <c r="O33" s="3" t="s">
        <v>404</v>
      </c>
    </row>
    <row r="34" customFormat="false" ht="15" hidden="false" customHeight="false" outlineLevel="0" collapsed="false">
      <c r="A34" s="3" t="s">
        <v>391</v>
      </c>
      <c r="B34" s="3" t="s">
        <v>126</v>
      </c>
      <c r="C34" s="3" t="s">
        <v>104</v>
      </c>
      <c r="D34" s="3" t="s">
        <v>402</v>
      </c>
      <c r="E34" s="3" t="s">
        <v>393</v>
      </c>
      <c r="F34" s="3" t="n">
        <v>157</v>
      </c>
      <c r="G34" s="3" t="n">
        <v>126</v>
      </c>
      <c r="H34" s="3" t="n">
        <v>181</v>
      </c>
      <c r="I34" s="3" t="n">
        <v>132.75</v>
      </c>
      <c r="J34" s="3" t="n">
        <v>60.84</v>
      </c>
      <c r="K34" s="3" t="n">
        <v>0</v>
      </c>
      <c r="L34" s="3" t="s">
        <v>408</v>
      </c>
      <c r="M34" s="3" t="n">
        <v>1</v>
      </c>
      <c r="N34" s="3" t="n">
        <v>65.22</v>
      </c>
      <c r="O34" s="3" t="s">
        <v>404</v>
      </c>
    </row>
    <row r="35" customFormat="false" ht="15" hidden="false" customHeight="false" outlineLevel="0" collapsed="false">
      <c r="A35" s="3" t="s">
        <v>391</v>
      </c>
      <c r="B35" s="3" t="s">
        <v>126</v>
      </c>
      <c r="C35" s="3" t="s">
        <v>106</v>
      </c>
      <c r="D35" s="3" t="s">
        <v>392</v>
      </c>
      <c r="E35" s="3" t="s">
        <v>399</v>
      </c>
      <c r="F35" s="3" t="n">
        <v>67</v>
      </c>
      <c r="G35" s="3" t="n">
        <v>13</v>
      </c>
      <c r="H35" s="3" t="n">
        <v>33</v>
      </c>
      <c r="I35" s="3" t="n">
        <v>7.44</v>
      </c>
      <c r="J35" s="3" t="n">
        <v>34.62</v>
      </c>
      <c r="K35" s="3" t="n">
        <v>0</v>
      </c>
      <c r="L35" s="3" t="s">
        <v>408</v>
      </c>
      <c r="M35" s="3" t="n">
        <v>1</v>
      </c>
      <c r="N35" s="3" t="n">
        <v>33.98</v>
      </c>
      <c r="O35" s="3" t="s">
        <v>395</v>
      </c>
    </row>
    <row r="36" customFormat="false" ht="15" hidden="false" customHeight="false" outlineLevel="0" collapsed="false">
      <c r="A36" s="3" t="s">
        <v>391</v>
      </c>
      <c r="B36" s="3" t="s">
        <v>126</v>
      </c>
      <c r="C36" s="3" t="s">
        <v>108</v>
      </c>
      <c r="D36" s="3" t="s">
        <v>392</v>
      </c>
      <c r="E36" s="3" t="s">
        <v>403</v>
      </c>
      <c r="F36" s="3" t="n">
        <v>281</v>
      </c>
      <c r="G36" s="3" t="n">
        <v>25</v>
      </c>
      <c r="H36" s="3" t="n">
        <v>136</v>
      </c>
      <c r="I36" s="3" t="n">
        <v>37.27</v>
      </c>
      <c r="J36" s="3" t="n">
        <v>19.56</v>
      </c>
      <c r="K36" s="3" t="n">
        <v>5</v>
      </c>
      <c r="L36" s="3" t="s">
        <v>394</v>
      </c>
      <c r="M36" s="3" t="n">
        <v>1</v>
      </c>
      <c r="N36" s="3" t="n">
        <v>19.01</v>
      </c>
      <c r="O36" s="3" t="s">
        <v>404</v>
      </c>
    </row>
    <row r="37" customFormat="false" ht="15" hidden="false" customHeight="false" outlineLevel="0" collapsed="false">
      <c r="A37" s="3" t="s">
        <v>391</v>
      </c>
      <c r="B37" s="3" t="s">
        <v>126</v>
      </c>
      <c r="C37" s="3" t="s">
        <v>110</v>
      </c>
      <c r="D37" s="3" t="s">
        <v>406</v>
      </c>
      <c r="E37" s="3" t="s">
        <v>403</v>
      </c>
      <c r="F37" s="3" t="n">
        <v>389</v>
      </c>
      <c r="G37" s="3" t="n">
        <v>283</v>
      </c>
      <c r="H37" s="3" t="n">
        <v>177</v>
      </c>
      <c r="I37" s="3" t="n">
        <v>299.7</v>
      </c>
      <c r="J37" s="3" t="n">
        <v>57.78</v>
      </c>
      <c r="K37" s="3" t="n">
        <v>20</v>
      </c>
      <c r="L37" s="3" t="s">
        <v>401</v>
      </c>
      <c r="M37" s="3" t="n">
        <v>0</v>
      </c>
      <c r="N37" s="3" t="n">
        <v>58.5</v>
      </c>
      <c r="O37" s="3" t="s">
        <v>407</v>
      </c>
    </row>
    <row r="38" customFormat="false" ht="15" hidden="false" customHeight="false" outlineLevel="0" collapsed="false">
      <c r="A38" s="3" t="s">
        <v>391</v>
      </c>
      <c r="B38" s="3" t="s">
        <v>126</v>
      </c>
      <c r="C38" s="3" t="s">
        <v>112</v>
      </c>
      <c r="D38" s="3" t="s">
        <v>402</v>
      </c>
      <c r="E38" s="3" t="s">
        <v>403</v>
      </c>
      <c r="F38" s="3" t="n">
        <v>465</v>
      </c>
      <c r="G38" s="3" t="n">
        <v>359</v>
      </c>
      <c r="H38" s="3" t="n">
        <v>77</v>
      </c>
      <c r="I38" s="3" t="n">
        <v>370.36</v>
      </c>
      <c r="J38" s="3" t="n">
        <v>91.28</v>
      </c>
      <c r="K38" s="3" t="n">
        <v>20</v>
      </c>
      <c r="L38" s="3" t="s">
        <v>401</v>
      </c>
      <c r="M38" s="3" t="n">
        <v>0</v>
      </c>
      <c r="N38" s="3" t="n">
        <v>90.85</v>
      </c>
      <c r="O38" s="3" t="s">
        <v>400</v>
      </c>
    </row>
    <row r="39" customFormat="false" ht="15" hidden="false" customHeight="false" outlineLevel="0" collapsed="false">
      <c r="A39" s="3" t="s">
        <v>391</v>
      </c>
      <c r="B39" s="3" t="s">
        <v>126</v>
      </c>
      <c r="C39" s="3" t="s">
        <v>114</v>
      </c>
      <c r="D39" s="3" t="s">
        <v>396</v>
      </c>
      <c r="E39" s="3" t="s">
        <v>397</v>
      </c>
      <c r="F39" s="3" t="n">
        <v>197</v>
      </c>
      <c r="G39" s="3" t="n">
        <v>129</v>
      </c>
      <c r="H39" s="3" t="n">
        <v>94</v>
      </c>
      <c r="I39" s="3" t="n">
        <v>148.55</v>
      </c>
      <c r="J39" s="3" t="n">
        <v>59.9</v>
      </c>
      <c r="K39" s="3" t="n">
        <v>15</v>
      </c>
      <c r="L39" s="3" t="s">
        <v>398</v>
      </c>
      <c r="M39" s="3" t="n">
        <v>1</v>
      </c>
      <c r="N39" s="3" t="n">
        <v>55.23</v>
      </c>
      <c r="O39" s="3" t="s">
        <v>404</v>
      </c>
    </row>
    <row r="40" customFormat="false" ht="15" hidden="false" customHeight="false" outlineLevel="0" collapsed="false">
      <c r="A40" s="3" t="s">
        <v>391</v>
      </c>
      <c r="B40" s="3" t="s">
        <v>126</v>
      </c>
      <c r="C40" s="3" t="s">
        <v>116</v>
      </c>
      <c r="D40" s="3" t="s">
        <v>396</v>
      </c>
      <c r="E40" s="3" t="s">
        <v>397</v>
      </c>
      <c r="F40" s="3" t="n">
        <v>242</v>
      </c>
      <c r="G40" s="3" t="n">
        <v>63</v>
      </c>
      <c r="H40" s="3" t="n">
        <v>85</v>
      </c>
      <c r="I40" s="3" t="n">
        <v>58.07</v>
      </c>
      <c r="J40" s="3" t="n">
        <v>45.65</v>
      </c>
      <c r="K40" s="3" t="n">
        <v>20</v>
      </c>
      <c r="L40" s="3" t="s">
        <v>394</v>
      </c>
      <c r="M40" s="3" t="n">
        <v>1</v>
      </c>
      <c r="N40" s="3" t="n">
        <v>42.17</v>
      </c>
      <c r="O40" s="3" t="s">
        <v>407</v>
      </c>
    </row>
    <row r="41" customFormat="false" ht="15" hidden="false" customHeight="false" outlineLevel="0" collapsed="false">
      <c r="A41" s="3" t="s">
        <v>391</v>
      </c>
      <c r="B41" s="3" t="s">
        <v>126</v>
      </c>
      <c r="C41" s="3" t="s">
        <v>118</v>
      </c>
      <c r="D41" s="3" t="s">
        <v>392</v>
      </c>
      <c r="E41" s="3" t="s">
        <v>399</v>
      </c>
      <c r="F41" s="3" t="n">
        <v>398</v>
      </c>
      <c r="G41" s="3" t="n">
        <v>373</v>
      </c>
      <c r="H41" s="3" t="n">
        <v>92</v>
      </c>
      <c r="I41" s="3" t="n">
        <v>390.89</v>
      </c>
      <c r="J41" s="3" t="n">
        <v>11.71</v>
      </c>
      <c r="K41" s="3" t="n">
        <v>20</v>
      </c>
      <c r="L41" s="3" t="s">
        <v>401</v>
      </c>
      <c r="M41" s="3" t="n">
        <v>1</v>
      </c>
      <c r="N41" s="3" t="n">
        <v>10</v>
      </c>
      <c r="O41" s="3" t="s">
        <v>404</v>
      </c>
    </row>
    <row r="42" customFormat="false" ht="15" hidden="false" customHeight="false" outlineLevel="0" collapsed="false">
      <c r="A42" s="3" t="s">
        <v>391</v>
      </c>
      <c r="B42" s="3" t="s">
        <v>126</v>
      </c>
      <c r="C42" s="3" t="s">
        <v>120</v>
      </c>
      <c r="D42" s="3" t="s">
        <v>392</v>
      </c>
      <c r="E42" s="3" t="s">
        <v>393</v>
      </c>
      <c r="F42" s="3" t="n">
        <v>234</v>
      </c>
      <c r="G42" s="3" t="n">
        <v>160</v>
      </c>
      <c r="H42" s="3" t="n">
        <v>140</v>
      </c>
      <c r="I42" s="3" t="n">
        <v>177.41</v>
      </c>
      <c r="J42" s="3" t="n">
        <v>58.84</v>
      </c>
      <c r="K42" s="3" t="n">
        <v>5</v>
      </c>
      <c r="L42" s="3" t="s">
        <v>401</v>
      </c>
      <c r="M42" s="3" t="n">
        <v>0</v>
      </c>
      <c r="N42" s="3" t="n">
        <v>54.39</v>
      </c>
      <c r="O42" s="3" t="s">
        <v>400</v>
      </c>
    </row>
    <row r="43" customFormat="false" ht="15" hidden="false" customHeight="false" outlineLevel="0" collapsed="false">
      <c r="A43" s="3" t="s">
        <v>391</v>
      </c>
      <c r="B43" s="3" t="s">
        <v>126</v>
      </c>
      <c r="C43" s="3" t="s">
        <v>122</v>
      </c>
      <c r="D43" s="3" t="s">
        <v>396</v>
      </c>
      <c r="E43" s="3" t="s">
        <v>403</v>
      </c>
      <c r="F43" s="3" t="n">
        <v>67</v>
      </c>
      <c r="G43" s="3" t="n">
        <v>15</v>
      </c>
      <c r="H43" s="3" t="n">
        <v>186</v>
      </c>
      <c r="I43" s="3" t="n">
        <v>34.38</v>
      </c>
      <c r="J43" s="3" t="n">
        <v>84.99</v>
      </c>
      <c r="K43" s="3" t="n">
        <v>5</v>
      </c>
      <c r="L43" s="3" t="s">
        <v>398</v>
      </c>
      <c r="M43" s="3" t="n">
        <v>1</v>
      </c>
      <c r="N43" s="3" t="n">
        <v>81.02</v>
      </c>
      <c r="O43" s="3" t="s">
        <v>404</v>
      </c>
    </row>
    <row r="44" customFormat="false" ht="15" hidden="false" customHeight="false" outlineLevel="0" collapsed="false">
      <c r="A44" s="3" t="s">
        <v>391</v>
      </c>
      <c r="B44" s="3" t="s">
        <v>126</v>
      </c>
      <c r="C44" s="3" t="s">
        <v>124</v>
      </c>
      <c r="D44" s="3" t="s">
        <v>396</v>
      </c>
      <c r="E44" s="3" t="s">
        <v>399</v>
      </c>
      <c r="F44" s="3" t="n">
        <v>221</v>
      </c>
      <c r="G44" s="3" t="n">
        <v>101</v>
      </c>
      <c r="H44" s="3" t="n">
        <v>38</v>
      </c>
      <c r="I44" s="3" t="n">
        <v>115</v>
      </c>
      <c r="J44" s="3" t="n">
        <v>87.1</v>
      </c>
      <c r="K44" s="3" t="n">
        <v>0</v>
      </c>
      <c r="L44" s="3" t="s">
        <v>394</v>
      </c>
      <c r="M44" s="3" t="n">
        <v>1</v>
      </c>
      <c r="N44" s="3" t="n">
        <v>91.56</v>
      </c>
      <c r="O44" s="3" t="s">
        <v>407</v>
      </c>
    </row>
    <row r="45" customFormat="false" ht="15" hidden="false" customHeight="false" outlineLevel="0" collapsed="false">
      <c r="A45" s="3" t="s">
        <v>391</v>
      </c>
      <c r="B45" s="3" t="s">
        <v>147</v>
      </c>
      <c r="C45" s="3" t="s">
        <v>86</v>
      </c>
      <c r="D45" s="3" t="s">
        <v>396</v>
      </c>
      <c r="E45" s="3" t="s">
        <v>397</v>
      </c>
      <c r="F45" s="3" t="n">
        <v>241</v>
      </c>
      <c r="G45" s="3" t="n">
        <v>147</v>
      </c>
      <c r="H45" s="3" t="n">
        <v>180</v>
      </c>
      <c r="I45" s="3" t="n">
        <v>161.09</v>
      </c>
      <c r="J45" s="3" t="n">
        <v>67.21</v>
      </c>
      <c r="K45" s="3" t="n">
        <v>5</v>
      </c>
      <c r="L45" s="3" t="s">
        <v>398</v>
      </c>
      <c r="M45" s="3" t="n">
        <v>1</v>
      </c>
      <c r="N45" s="3" t="n">
        <v>67.39</v>
      </c>
      <c r="O45" s="3" t="s">
        <v>400</v>
      </c>
    </row>
    <row r="46" customFormat="false" ht="15" hidden="false" customHeight="false" outlineLevel="0" collapsed="false">
      <c r="A46" s="3" t="s">
        <v>391</v>
      </c>
      <c r="B46" s="3" t="s">
        <v>147</v>
      </c>
      <c r="C46" s="3" t="s">
        <v>88</v>
      </c>
      <c r="D46" s="3" t="s">
        <v>402</v>
      </c>
      <c r="E46" s="3" t="s">
        <v>399</v>
      </c>
      <c r="F46" s="3" t="n">
        <v>115</v>
      </c>
      <c r="G46" s="3" t="n">
        <v>4</v>
      </c>
      <c r="H46" s="3" t="n">
        <v>169</v>
      </c>
      <c r="I46" s="3" t="n">
        <v>11.11</v>
      </c>
      <c r="J46" s="3" t="n">
        <v>28.2</v>
      </c>
      <c r="K46" s="3" t="n">
        <v>10</v>
      </c>
      <c r="L46" s="3" t="s">
        <v>398</v>
      </c>
      <c r="M46" s="3" t="n">
        <v>1</v>
      </c>
      <c r="N46" s="3" t="n">
        <v>25.63</v>
      </c>
      <c r="O46" s="3" t="s">
        <v>407</v>
      </c>
    </row>
    <row r="47" customFormat="false" ht="15" hidden="false" customHeight="false" outlineLevel="0" collapsed="false">
      <c r="A47" s="3" t="s">
        <v>391</v>
      </c>
      <c r="B47" s="3" t="s">
        <v>147</v>
      </c>
      <c r="C47" s="3" t="s">
        <v>90</v>
      </c>
      <c r="D47" s="3" t="s">
        <v>392</v>
      </c>
      <c r="E47" s="3" t="s">
        <v>397</v>
      </c>
      <c r="F47" s="3" t="n">
        <v>375</v>
      </c>
      <c r="G47" s="3" t="n">
        <v>77</v>
      </c>
      <c r="H47" s="3" t="n">
        <v>145</v>
      </c>
      <c r="I47" s="3" t="n">
        <v>75.04</v>
      </c>
      <c r="J47" s="3" t="n">
        <v>56.16</v>
      </c>
      <c r="K47" s="3" t="n">
        <v>10</v>
      </c>
      <c r="L47" s="3" t="s">
        <v>398</v>
      </c>
      <c r="M47" s="3" t="n">
        <v>1</v>
      </c>
      <c r="N47" s="3" t="n">
        <v>57.16</v>
      </c>
      <c r="O47" s="3" t="s">
        <v>407</v>
      </c>
    </row>
    <row r="48" customFormat="false" ht="15" hidden="false" customHeight="false" outlineLevel="0" collapsed="false">
      <c r="A48" s="3" t="s">
        <v>391</v>
      </c>
      <c r="B48" s="3" t="s">
        <v>147</v>
      </c>
      <c r="C48" s="3" t="s">
        <v>92</v>
      </c>
      <c r="D48" s="3" t="s">
        <v>396</v>
      </c>
      <c r="E48" s="3" t="s">
        <v>397</v>
      </c>
      <c r="F48" s="3" t="n">
        <v>153</v>
      </c>
      <c r="G48" s="3" t="n">
        <v>31</v>
      </c>
      <c r="H48" s="3" t="n">
        <v>145</v>
      </c>
      <c r="I48" s="3" t="n">
        <v>42.99</v>
      </c>
      <c r="J48" s="3" t="n">
        <v>89.53</v>
      </c>
      <c r="K48" s="3" t="n">
        <v>20</v>
      </c>
      <c r="L48" s="3" t="s">
        <v>394</v>
      </c>
      <c r="M48" s="3" t="n">
        <v>1</v>
      </c>
      <c r="N48" s="3" t="n">
        <v>93.6</v>
      </c>
      <c r="O48" s="3" t="s">
        <v>404</v>
      </c>
    </row>
    <row r="49" customFormat="false" ht="15" hidden="false" customHeight="false" outlineLevel="0" collapsed="false">
      <c r="A49" s="3" t="s">
        <v>391</v>
      </c>
      <c r="B49" s="3" t="s">
        <v>147</v>
      </c>
      <c r="C49" s="3" t="s">
        <v>94</v>
      </c>
      <c r="D49" s="3" t="s">
        <v>406</v>
      </c>
      <c r="E49" s="3" t="s">
        <v>399</v>
      </c>
      <c r="F49" s="3" t="n">
        <v>438</v>
      </c>
      <c r="G49" s="3" t="n">
        <v>325</v>
      </c>
      <c r="H49" s="3" t="n">
        <v>20</v>
      </c>
      <c r="I49" s="3" t="n">
        <v>330.92</v>
      </c>
      <c r="J49" s="3" t="n">
        <v>97.95</v>
      </c>
      <c r="K49" s="3" t="n">
        <v>20</v>
      </c>
      <c r="L49" s="3" t="s">
        <v>398</v>
      </c>
      <c r="M49" s="3" t="n">
        <v>0</v>
      </c>
      <c r="N49" s="3" t="n">
        <v>93.54</v>
      </c>
      <c r="O49" s="3" t="s">
        <v>404</v>
      </c>
    </row>
    <row r="50" customFormat="false" ht="15" hidden="false" customHeight="false" outlineLevel="0" collapsed="false">
      <c r="A50" s="3" t="s">
        <v>391</v>
      </c>
      <c r="B50" s="3" t="s">
        <v>147</v>
      </c>
      <c r="C50" s="3" t="s">
        <v>96</v>
      </c>
      <c r="D50" s="3" t="s">
        <v>392</v>
      </c>
      <c r="E50" s="3" t="s">
        <v>393</v>
      </c>
      <c r="F50" s="3" t="n">
        <v>456</v>
      </c>
      <c r="G50" s="3" t="n">
        <v>163</v>
      </c>
      <c r="H50" s="3" t="n">
        <v>22</v>
      </c>
      <c r="I50" s="3" t="n">
        <v>159.17</v>
      </c>
      <c r="J50" s="3" t="n">
        <v>76.37</v>
      </c>
      <c r="K50" s="3" t="n">
        <v>5</v>
      </c>
      <c r="L50" s="3" t="s">
        <v>394</v>
      </c>
      <c r="M50" s="3" t="n">
        <v>1</v>
      </c>
      <c r="N50" s="3" t="n">
        <v>71.38</v>
      </c>
      <c r="O50" s="3" t="s">
        <v>400</v>
      </c>
    </row>
    <row r="51" customFormat="false" ht="15" hidden="false" customHeight="false" outlineLevel="0" collapsed="false">
      <c r="A51" s="3" t="s">
        <v>391</v>
      </c>
      <c r="B51" s="3" t="s">
        <v>147</v>
      </c>
      <c r="C51" s="3" t="s">
        <v>98</v>
      </c>
      <c r="D51" s="3" t="s">
        <v>402</v>
      </c>
      <c r="E51" s="3" t="s">
        <v>393</v>
      </c>
      <c r="F51" s="3" t="n">
        <v>189</v>
      </c>
      <c r="G51" s="3" t="n">
        <v>34</v>
      </c>
      <c r="H51" s="3" t="n">
        <v>107</v>
      </c>
      <c r="I51" s="3" t="n">
        <v>26.91</v>
      </c>
      <c r="J51" s="3" t="n">
        <v>86.99</v>
      </c>
      <c r="K51" s="3" t="n">
        <v>15</v>
      </c>
      <c r="L51" s="3" t="s">
        <v>394</v>
      </c>
      <c r="M51" s="3" t="n">
        <v>1</v>
      </c>
      <c r="N51" s="3" t="n">
        <v>90.5</v>
      </c>
      <c r="O51" s="3" t="s">
        <v>400</v>
      </c>
    </row>
    <row r="52" customFormat="false" ht="15" hidden="false" customHeight="false" outlineLevel="0" collapsed="false">
      <c r="A52" s="3" t="s">
        <v>391</v>
      </c>
      <c r="B52" s="3" t="s">
        <v>147</v>
      </c>
      <c r="C52" s="3" t="s">
        <v>100</v>
      </c>
      <c r="D52" s="3" t="s">
        <v>396</v>
      </c>
      <c r="E52" s="3" t="s">
        <v>393</v>
      </c>
      <c r="F52" s="3" t="n">
        <v>223</v>
      </c>
      <c r="G52" s="3" t="n">
        <v>47</v>
      </c>
      <c r="H52" s="3" t="n">
        <v>107</v>
      </c>
      <c r="I52" s="3" t="n">
        <v>45.48</v>
      </c>
      <c r="J52" s="3" t="n">
        <v>66.53</v>
      </c>
      <c r="K52" s="3" t="n">
        <v>15</v>
      </c>
      <c r="L52" s="3" t="s">
        <v>401</v>
      </c>
      <c r="M52" s="3" t="n">
        <v>1</v>
      </c>
      <c r="N52" s="3" t="n">
        <v>70.46</v>
      </c>
      <c r="O52" s="3" t="s">
        <v>407</v>
      </c>
    </row>
    <row r="53" customFormat="false" ht="15" hidden="false" customHeight="false" outlineLevel="0" collapsed="false">
      <c r="A53" s="3" t="s">
        <v>391</v>
      </c>
      <c r="B53" s="3" t="s">
        <v>147</v>
      </c>
      <c r="C53" s="3" t="s">
        <v>102</v>
      </c>
      <c r="D53" s="3" t="s">
        <v>392</v>
      </c>
      <c r="E53" s="3" t="s">
        <v>397</v>
      </c>
      <c r="F53" s="3" t="n">
        <v>381</v>
      </c>
      <c r="G53" s="3" t="n">
        <v>15</v>
      </c>
      <c r="H53" s="3" t="n">
        <v>184</v>
      </c>
      <c r="I53" s="3" t="n">
        <v>30.05</v>
      </c>
      <c r="J53" s="3" t="n">
        <v>74.86</v>
      </c>
      <c r="K53" s="3" t="n">
        <v>15</v>
      </c>
      <c r="L53" s="3" t="s">
        <v>408</v>
      </c>
      <c r="M53" s="3" t="n">
        <v>1</v>
      </c>
      <c r="N53" s="3" t="n">
        <v>73.93</v>
      </c>
      <c r="O53" s="3" t="s">
        <v>404</v>
      </c>
    </row>
    <row r="54" customFormat="false" ht="15" hidden="false" customHeight="false" outlineLevel="0" collapsed="false">
      <c r="A54" s="3" t="s">
        <v>391</v>
      </c>
      <c r="B54" s="3" t="s">
        <v>147</v>
      </c>
      <c r="C54" s="3" t="s">
        <v>104</v>
      </c>
      <c r="D54" s="3" t="s">
        <v>392</v>
      </c>
      <c r="E54" s="3" t="s">
        <v>397</v>
      </c>
      <c r="F54" s="3" t="n">
        <v>166</v>
      </c>
      <c r="G54" s="3" t="n">
        <v>126</v>
      </c>
      <c r="H54" s="3" t="n">
        <v>124</v>
      </c>
      <c r="I54" s="3" t="n">
        <v>141.34</v>
      </c>
      <c r="J54" s="3" t="n">
        <v>97.09</v>
      </c>
      <c r="K54" s="3" t="n">
        <v>5</v>
      </c>
      <c r="L54" s="3" t="s">
        <v>394</v>
      </c>
      <c r="M54" s="3" t="n">
        <v>1</v>
      </c>
      <c r="N54" s="3" t="n">
        <v>95.8</v>
      </c>
      <c r="O54" s="3" t="s">
        <v>400</v>
      </c>
    </row>
    <row r="55" customFormat="false" ht="15" hidden="false" customHeight="false" outlineLevel="0" collapsed="false">
      <c r="A55" s="3" t="s">
        <v>391</v>
      </c>
      <c r="B55" s="3" t="s">
        <v>147</v>
      </c>
      <c r="C55" s="3" t="s">
        <v>106</v>
      </c>
      <c r="D55" s="3" t="s">
        <v>396</v>
      </c>
      <c r="E55" s="3" t="s">
        <v>403</v>
      </c>
      <c r="F55" s="3" t="n">
        <v>292</v>
      </c>
      <c r="G55" s="3" t="n">
        <v>232</v>
      </c>
      <c r="H55" s="3" t="n">
        <v>155</v>
      </c>
      <c r="I55" s="3" t="n">
        <v>242.02</v>
      </c>
      <c r="J55" s="3" t="n">
        <v>56.19</v>
      </c>
      <c r="K55" s="3" t="n">
        <v>0</v>
      </c>
      <c r="L55" s="3" t="s">
        <v>408</v>
      </c>
      <c r="M55" s="3" t="n">
        <v>1</v>
      </c>
      <c r="N55" s="3" t="n">
        <v>57.85</v>
      </c>
      <c r="O55" s="3" t="s">
        <v>404</v>
      </c>
    </row>
    <row r="56" customFormat="false" ht="15" hidden="false" customHeight="false" outlineLevel="0" collapsed="false">
      <c r="A56" s="3" t="s">
        <v>391</v>
      </c>
      <c r="B56" s="3" t="s">
        <v>147</v>
      </c>
      <c r="C56" s="3" t="s">
        <v>108</v>
      </c>
      <c r="D56" s="3" t="s">
        <v>402</v>
      </c>
      <c r="E56" s="3" t="s">
        <v>393</v>
      </c>
      <c r="F56" s="3" t="n">
        <v>311</v>
      </c>
      <c r="G56" s="3" t="n">
        <v>175</v>
      </c>
      <c r="H56" s="3" t="n">
        <v>55</v>
      </c>
      <c r="I56" s="3" t="n">
        <v>176.75</v>
      </c>
      <c r="J56" s="3" t="n">
        <v>90.38</v>
      </c>
      <c r="K56" s="3" t="n">
        <v>20</v>
      </c>
      <c r="L56" s="3" t="s">
        <v>401</v>
      </c>
      <c r="M56" s="3" t="n">
        <v>0</v>
      </c>
      <c r="N56" s="3" t="n">
        <v>89.52</v>
      </c>
      <c r="O56" s="3" t="s">
        <v>400</v>
      </c>
    </row>
    <row r="57" customFormat="false" ht="15" hidden="false" customHeight="false" outlineLevel="0" collapsed="false">
      <c r="A57" s="3" t="s">
        <v>391</v>
      </c>
      <c r="B57" s="3" t="s">
        <v>147</v>
      </c>
      <c r="C57" s="3" t="s">
        <v>110</v>
      </c>
      <c r="D57" s="3" t="s">
        <v>405</v>
      </c>
      <c r="E57" s="3" t="s">
        <v>393</v>
      </c>
      <c r="F57" s="3" t="n">
        <v>51</v>
      </c>
      <c r="G57" s="3" t="n">
        <v>17</v>
      </c>
      <c r="H57" s="3" t="n">
        <v>172</v>
      </c>
      <c r="I57" s="3" t="n">
        <v>12.86</v>
      </c>
      <c r="J57" s="3" t="n">
        <v>73.98</v>
      </c>
      <c r="K57" s="3" t="n">
        <v>20</v>
      </c>
      <c r="L57" s="3" t="s">
        <v>401</v>
      </c>
      <c r="M57" s="3" t="n">
        <v>1</v>
      </c>
      <c r="N57" s="3" t="n">
        <v>76.65</v>
      </c>
      <c r="O57" s="3" t="s">
        <v>400</v>
      </c>
    </row>
    <row r="58" customFormat="false" ht="15" hidden="false" customHeight="false" outlineLevel="0" collapsed="false">
      <c r="A58" s="3" t="s">
        <v>391</v>
      </c>
      <c r="B58" s="3" t="s">
        <v>147</v>
      </c>
      <c r="C58" s="3" t="s">
        <v>112</v>
      </c>
      <c r="D58" s="3" t="s">
        <v>402</v>
      </c>
      <c r="E58" s="3" t="s">
        <v>397</v>
      </c>
      <c r="F58" s="3" t="n">
        <v>398</v>
      </c>
      <c r="G58" s="3" t="n">
        <v>369</v>
      </c>
      <c r="H58" s="3" t="n">
        <v>26</v>
      </c>
      <c r="I58" s="3" t="n">
        <v>387.88</v>
      </c>
      <c r="J58" s="3" t="n">
        <v>79.03</v>
      </c>
      <c r="K58" s="3" t="n">
        <v>5</v>
      </c>
      <c r="L58" s="3" t="s">
        <v>394</v>
      </c>
      <c r="M58" s="3" t="n">
        <v>0</v>
      </c>
      <c r="N58" s="3" t="n">
        <v>82.51</v>
      </c>
      <c r="O58" s="3" t="s">
        <v>407</v>
      </c>
    </row>
    <row r="59" customFormat="false" ht="15" hidden="false" customHeight="false" outlineLevel="0" collapsed="false">
      <c r="A59" s="3" t="s">
        <v>391</v>
      </c>
      <c r="B59" s="3" t="s">
        <v>147</v>
      </c>
      <c r="C59" s="3" t="s">
        <v>114</v>
      </c>
      <c r="D59" s="3" t="s">
        <v>406</v>
      </c>
      <c r="E59" s="3" t="s">
        <v>399</v>
      </c>
      <c r="F59" s="3" t="n">
        <v>445</v>
      </c>
      <c r="G59" s="3" t="n">
        <v>260</v>
      </c>
      <c r="H59" s="3" t="n">
        <v>24</v>
      </c>
      <c r="I59" s="3" t="n">
        <v>266.36</v>
      </c>
      <c r="J59" s="3" t="n">
        <v>27.72</v>
      </c>
      <c r="K59" s="3" t="n">
        <v>5</v>
      </c>
      <c r="L59" s="3" t="s">
        <v>408</v>
      </c>
      <c r="M59" s="3" t="n">
        <v>0</v>
      </c>
      <c r="N59" s="3" t="n">
        <v>23.28</v>
      </c>
      <c r="O59" s="3" t="s">
        <v>395</v>
      </c>
    </row>
    <row r="60" customFormat="false" ht="15" hidden="false" customHeight="false" outlineLevel="0" collapsed="false">
      <c r="A60" s="3" t="s">
        <v>391</v>
      </c>
      <c r="B60" s="3" t="s">
        <v>147</v>
      </c>
      <c r="C60" s="3" t="s">
        <v>116</v>
      </c>
      <c r="D60" s="3" t="s">
        <v>392</v>
      </c>
      <c r="E60" s="3" t="s">
        <v>397</v>
      </c>
      <c r="F60" s="3" t="n">
        <v>487</v>
      </c>
      <c r="G60" s="3" t="n">
        <v>347</v>
      </c>
      <c r="H60" s="3" t="n">
        <v>93</v>
      </c>
      <c r="I60" s="3" t="n">
        <v>349.36</v>
      </c>
      <c r="J60" s="3" t="n">
        <v>98.18</v>
      </c>
      <c r="K60" s="3" t="n">
        <v>15</v>
      </c>
      <c r="L60" s="3" t="s">
        <v>394</v>
      </c>
      <c r="M60" s="3" t="n">
        <v>0</v>
      </c>
      <c r="N60" s="3" t="n">
        <v>99.58</v>
      </c>
      <c r="O60" s="3" t="s">
        <v>404</v>
      </c>
    </row>
    <row r="61" customFormat="false" ht="15" hidden="false" customHeight="false" outlineLevel="0" collapsed="false">
      <c r="A61" s="3" t="s">
        <v>391</v>
      </c>
      <c r="B61" s="3" t="s">
        <v>147</v>
      </c>
      <c r="C61" s="3" t="s">
        <v>118</v>
      </c>
      <c r="D61" s="3" t="s">
        <v>406</v>
      </c>
      <c r="E61" s="3" t="s">
        <v>403</v>
      </c>
      <c r="F61" s="3" t="n">
        <v>429</v>
      </c>
      <c r="G61" s="3" t="n">
        <v>150</v>
      </c>
      <c r="H61" s="3" t="n">
        <v>168</v>
      </c>
      <c r="I61" s="3" t="n">
        <v>157.82</v>
      </c>
      <c r="J61" s="3" t="n">
        <v>27.1</v>
      </c>
      <c r="K61" s="3" t="n">
        <v>5</v>
      </c>
      <c r="L61" s="3" t="s">
        <v>401</v>
      </c>
      <c r="M61" s="3" t="n">
        <v>1</v>
      </c>
      <c r="N61" s="3" t="n">
        <v>27.4</v>
      </c>
      <c r="O61" s="3" t="s">
        <v>407</v>
      </c>
    </row>
    <row r="62" customFormat="false" ht="15" hidden="false" customHeight="false" outlineLevel="0" collapsed="false">
      <c r="A62" s="3" t="s">
        <v>391</v>
      </c>
      <c r="B62" s="3" t="s">
        <v>147</v>
      </c>
      <c r="C62" s="3" t="s">
        <v>120</v>
      </c>
      <c r="D62" s="3" t="s">
        <v>396</v>
      </c>
      <c r="E62" s="3" t="s">
        <v>399</v>
      </c>
      <c r="F62" s="3" t="n">
        <v>204</v>
      </c>
      <c r="G62" s="3" t="n">
        <v>70</v>
      </c>
      <c r="H62" s="3" t="n">
        <v>170</v>
      </c>
      <c r="I62" s="3" t="n">
        <v>83.01</v>
      </c>
      <c r="J62" s="3" t="n">
        <v>97.08</v>
      </c>
      <c r="K62" s="3" t="n">
        <v>15</v>
      </c>
      <c r="L62" s="3" t="s">
        <v>408</v>
      </c>
      <c r="M62" s="3" t="n">
        <v>1</v>
      </c>
      <c r="N62" s="3" t="n">
        <v>94.88</v>
      </c>
      <c r="O62" s="3" t="s">
        <v>404</v>
      </c>
    </row>
    <row r="63" customFormat="false" ht="15" hidden="false" customHeight="false" outlineLevel="0" collapsed="false">
      <c r="A63" s="3" t="s">
        <v>391</v>
      </c>
      <c r="B63" s="3" t="s">
        <v>147</v>
      </c>
      <c r="C63" s="3" t="s">
        <v>122</v>
      </c>
      <c r="D63" s="3" t="s">
        <v>406</v>
      </c>
      <c r="E63" s="3" t="s">
        <v>403</v>
      </c>
      <c r="F63" s="3" t="n">
        <v>330</v>
      </c>
      <c r="G63" s="3" t="n">
        <v>249</v>
      </c>
      <c r="H63" s="3" t="n">
        <v>37</v>
      </c>
      <c r="I63" s="3" t="n">
        <v>268.25</v>
      </c>
      <c r="J63" s="3" t="n">
        <v>26.71</v>
      </c>
      <c r="K63" s="3" t="n">
        <v>15</v>
      </c>
      <c r="L63" s="3" t="s">
        <v>401</v>
      </c>
      <c r="M63" s="3" t="n">
        <v>1</v>
      </c>
      <c r="N63" s="3" t="n">
        <v>24.81</v>
      </c>
      <c r="O63" s="3" t="s">
        <v>400</v>
      </c>
    </row>
    <row r="64" customFormat="false" ht="15" hidden="false" customHeight="false" outlineLevel="0" collapsed="false">
      <c r="A64" s="3" t="s">
        <v>391</v>
      </c>
      <c r="B64" s="3" t="s">
        <v>147</v>
      </c>
      <c r="C64" s="3" t="s">
        <v>124</v>
      </c>
      <c r="D64" s="3" t="s">
        <v>402</v>
      </c>
      <c r="E64" s="3" t="s">
        <v>393</v>
      </c>
      <c r="F64" s="3" t="n">
        <v>431</v>
      </c>
      <c r="G64" s="3" t="n">
        <v>370</v>
      </c>
      <c r="H64" s="3" t="n">
        <v>99</v>
      </c>
      <c r="I64" s="3" t="n">
        <v>387.57</v>
      </c>
      <c r="J64" s="3" t="n">
        <v>95.85</v>
      </c>
      <c r="K64" s="3" t="n">
        <v>20</v>
      </c>
      <c r="L64" s="3" t="s">
        <v>401</v>
      </c>
      <c r="M64" s="3" t="n">
        <v>1</v>
      </c>
      <c r="N64" s="3" t="n">
        <v>95.7</v>
      </c>
      <c r="O64" s="3" t="s">
        <v>407</v>
      </c>
    </row>
    <row r="65" customFormat="false" ht="15" hidden="false" customHeight="false" outlineLevel="0" collapsed="false">
      <c r="A65" s="3" t="s">
        <v>391</v>
      </c>
      <c r="B65" s="3" t="s">
        <v>168</v>
      </c>
      <c r="C65" s="3" t="s">
        <v>86</v>
      </c>
      <c r="D65" s="3" t="s">
        <v>396</v>
      </c>
      <c r="E65" s="3" t="s">
        <v>397</v>
      </c>
      <c r="F65" s="3" t="n">
        <v>477</v>
      </c>
      <c r="G65" s="3" t="n">
        <v>271</v>
      </c>
      <c r="H65" s="3" t="n">
        <v>66</v>
      </c>
      <c r="I65" s="3" t="n">
        <v>286.65</v>
      </c>
      <c r="J65" s="3" t="n">
        <v>15.62</v>
      </c>
      <c r="K65" s="3" t="n">
        <v>15</v>
      </c>
      <c r="L65" s="3" t="s">
        <v>398</v>
      </c>
      <c r="M65" s="3" t="n">
        <v>0</v>
      </c>
      <c r="N65" s="3" t="n">
        <v>16.09</v>
      </c>
      <c r="O65" s="3" t="s">
        <v>404</v>
      </c>
    </row>
    <row r="66" customFormat="false" ht="15" hidden="false" customHeight="false" outlineLevel="0" collapsed="false">
      <c r="A66" s="3" t="s">
        <v>391</v>
      </c>
      <c r="B66" s="3" t="s">
        <v>168</v>
      </c>
      <c r="C66" s="3" t="s">
        <v>88</v>
      </c>
      <c r="D66" s="3" t="s">
        <v>406</v>
      </c>
      <c r="E66" s="3" t="s">
        <v>393</v>
      </c>
      <c r="F66" s="3" t="n">
        <v>462</v>
      </c>
      <c r="G66" s="3" t="n">
        <v>180</v>
      </c>
      <c r="H66" s="3" t="n">
        <v>183</v>
      </c>
      <c r="I66" s="3" t="n">
        <v>176.06</v>
      </c>
      <c r="J66" s="3" t="n">
        <v>41.13</v>
      </c>
      <c r="K66" s="3" t="n">
        <v>5</v>
      </c>
      <c r="L66" s="3" t="s">
        <v>398</v>
      </c>
      <c r="M66" s="3" t="n">
        <v>0</v>
      </c>
      <c r="N66" s="3" t="n">
        <v>45.05</v>
      </c>
      <c r="O66" s="3" t="s">
        <v>395</v>
      </c>
    </row>
    <row r="67" customFormat="false" ht="15" hidden="false" customHeight="false" outlineLevel="0" collapsed="false">
      <c r="A67" s="3" t="s">
        <v>391</v>
      </c>
      <c r="B67" s="3" t="s">
        <v>168</v>
      </c>
      <c r="C67" s="3" t="s">
        <v>90</v>
      </c>
      <c r="D67" s="3" t="s">
        <v>406</v>
      </c>
      <c r="E67" s="3" t="s">
        <v>399</v>
      </c>
      <c r="F67" s="3" t="n">
        <v>446</v>
      </c>
      <c r="G67" s="3" t="n">
        <v>344</v>
      </c>
      <c r="H67" s="3" t="n">
        <v>27</v>
      </c>
      <c r="I67" s="3" t="n">
        <v>352.93</v>
      </c>
      <c r="J67" s="3" t="n">
        <v>89.32</v>
      </c>
      <c r="K67" s="3" t="n">
        <v>20</v>
      </c>
      <c r="L67" s="3" t="s">
        <v>401</v>
      </c>
      <c r="M67" s="3" t="n">
        <v>0</v>
      </c>
      <c r="N67" s="3" t="n">
        <v>93</v>
      </c>
      <c r="O67" s="3" t="s">
        <v>395</v>
      </c>
    </row>
    <row r="68" customFormat="false" ht="15" hidden="false" customHeight="false" outlineLevel="0" collapsed="false">
      <c r="A68" s="3" t="s">
        <v>391</v>
      </c>
      <c r="B68" s="3" t="s">
        <v>168</v>
      </c>
      <c r="C68" s="3" t="s">
        <v>92</v>
      </c>
      <c r="D68" s="3" t="s">
        <v>392</v>
      </c>
      <c r="E68" s="3" t="s">
        <v>399</v>
      </c>
      <c r="F68" s="3" t="n">
        <v>437</v>
      </c>
      <c r="G68" s="3" t="n">
        <v>0</v>
      </c>
      <c r="H68" s="3" t="n">
        <v>160</v>
      </c>
      <c r="I68" s="3" t="n">
        <v>-2.4</v>
      </c>
      <c r="J68" s="3" t="n">
        <v>87.23</v>
      </c>
      <c r="K68" s="3" t="n">
        <v>10</v>
      </c>
      <c r="L68" s="3" t="s">
        <v>398</v>
      </c>
      <c r="M68" s="3" t="n">
        <v>0</v>
      </c>
      <c r="N68" s="3" t="n">
        <v>90.36</v>
      </c>
      <c r="O68" s="3" t="s">
        <v>407</v>
      </c>
    </row>
    <row r="69" customFormat="false" ht="15" hidden="false" customHeight="false" outlineLevel="0" collapsed="false">
      <c r="A69" s="3" t="s">
        <v>391</v>
      </c>
      <c r="B69" s="3" t="s">
        <v>168</v>
      </c>
      <c r="C69" s="3" t="s">
        <v>94</v>
      </c>
      <c r="D69" s="3" t="s">
        <v>392</v>
      </c>
      <c r="E69" s="3" t="s">
        <v>393</v>
      </c>
      <c r="F69" s="3" t="n">
        <v>397</v>
      </c>
      <c r="G69" s="3" t="n">
        <v>200</v>
      </c>
      <c r="H69" s="3" t="n">
        <v>172</v>
      </c>
      <c r="I69" s="3" t="n">
        <v>196.57</v>
      </c>
      <c r="J69" s="3" t="n">
        <v>81.72</v>
      </c>
      <c r="K69" s="3" t="n">
        <v>0</v>
      </c>
      <c r="L69" s="3" t="s">
        <v>408</v>
      </c>
      <c r="M69" s="3" t="n">
        <v>1</v>
      </c>
      <c r="N69" s="3" t="n">
        <v>85.22</v>
      </c>
      <c r="O69" s="3" t="s">
        <v>407</v>
      </c>
    </row>
    <row r="70" customFormat="false" ht="15" hidden="false" customHeight="false" outlineLevel="0" collapsed="false">
      <c r="A70" s="3" t="s">
        <v>391</v>
      </c>
      <c r="B70" s="3" t="s">
        <v>168</v>
      </c>
      <c r="C70" s="3" t="s">
        <v>96</v>
      </c>
      <c r="D70" s="3" t="s">
        <v>402</v>
      </c>
      <c r="E70" s="3" t="s">
        <v>403</v>
      </c>
      <c r="F70" s="3" t="n">
        <v>470</v>
      </c>
      <c r="G70" s="3" t="n">
        <v>382</v>
      </c>
      <c r="H70" s="3" t="n">
        <v>195</v>
      </c>
      <c r="I70" s="3" t="n">
        <v>396.4</v>
      </c>
      <c r="J70" s="3" t="n">
        <v>41.35</v>
      </c>
      <c r="K70" s="3" t="n">
        <v>10</v>
      </c>
      <c r="L70" s="3" t="s">
        <v>408</v>
      </c>
      <c r="M70" s="3" t="n">
        <v>0</v>
      </c>
      <c r="N70" s="3" t="n">
        <v>39.86</v>
      </c>
      <c r="O70" s="3" t="s">
        <v>400</v>
      </c>
    </row>
    <row r="71" customFormat="false" ht="15" hidden="false" customHeight="false" outlineLevel="0" collapsed="false">
      <c r="A71" s="3" t="s">
        <v>391</v>
      </c>
      <c r="B71" s="3" t="s">
        <v>168</v>
      </c>
      <c r="C71" s="3" t="s">
        <v>98</v>
      </c>
      <c r="D71" s="3" t="s">
        <v>402</v>
      </c>
      <c r="E71" s="3" t="s">
        <v>399</v>
      </c>
      <c r="F71" s="3" t="n">
        <v>264</v>
      </c>
      <c r="G71" s="3" t="n">
        <v>190</v>
      </c>
      <c r="H71" s="3" t="n">
        <v>139</v>
      </c>
      <c r="I71" s="3" t="n">
        <v>197.45</v>
      </c>
      <c r="J71" s="3" t="n">
        <v>67.26</v>
      </c>
      <c r="K71" s="3" t="n">
        <v>20</v>
      </c>
      <c r="L71" s="3" t="s">
        <v>401</v>
      </c>
      <c r="M71" s="3" t="n">
        <v>0</v>
      </c>
      <c r="N71" s="3" t="n">
        <v>64.78</v>
      </c>
      <c r="O71" s="3" t="s">
        <v>400</v>
      </c>
    </row>
    <row r="72" customFormat="false" ht="15" hidden="false" customHeight="false" outlineLevel="0" collapsed="false">
      <c r="A72" s="3" t="s">
        <v>391</v>
      </c>
      <c r="B72" s="3" t="s">
        <v>168</v>
      </c>
      <c r="C72" s="3" t="s">
        <v>100</v>
      </c>
      <c r="D72" s="3" t="s">
        <v>405</v>
      </c>
      <c r="E72" s="3" t="s">
        <v>397</v>
      </c>
      <c r="F72" s="3" t="n">
        <v>250</v>
      </c>
      <c r="G72" s="3" t="n">
        <v>51</v>
      </c>
      <c r="H72" s="3" t="n">
        <v>137</v>
      </c>
      <c r="I72" s="3" t="n">
        <v>54.98</v>
      </c>
      <c r="J72" s="3" t="n">
        <v>85.88</v>
      </c>
      <c r="K72" s="3" t="n">
        <v>20</v>
      </c>
      <c r="L72" s="3" t="s">
        <v>408</v>
      </c>
      <c r="M72" s="3" t="n">
        <v>1</v>
      </c>
      <c r="N72" s="3" t="n">
        <v>86.14</v>
      </c>
      <c r="O72" s="3" t="s">
        <v>404</v>
      </c>
    </row>
    <row r="73" customFormat="false" ht="15" hidden="false" customHeight="false" outlineLevel="0" collapsed="false">
      <c r="A73" s="3" t="s">
        <v>391</v>
      </c>
      <c r="B73" s="3" t="s">
        <v>168</v>
      </c>
      <c r="C73" s="3" t="s">
        <v>102</v>
      </c>
      <c r="D73" s="3" t="s">
        <v>405</v>
      </c>
      <c r="E73" s="3" t="s">
        <v>393</v>
      </c>
      <c r="F73" s="3" t="n">
        <v>63</v>
      </c>
      <c r="G73" s="3" t="n">
        <v>40</v>
      </c>
      <c r="H73" s="3" t="n">
        <v>73</v>
      </c>
      <c r="I73" s="3" t="n">
        <v>51.78</v>
      </c>
      <c r="J73" s="3" t="n">
        <v>59.23</v>
      </c>
      <c r="K73" s="3" t="n">
        <v>10</v>
      </c>
      <c r="L73" s="3" t="s">
        <v>394</v>
      </c>
      <c r="M73" s="3" t="n">
        <v>1</v>
      </c>
      <c r="N73" s="3" t="n">
        <v>61.1</v>
      </c>
      <c r="O73" s="3" t="s">
        <v>400</v>
      </c>
    </row>
    <row r="74" customFormat="false" ht="15" hidden="false" customHeight="false" outlineLevel="0" collapsed="false">
      <c r="A74" s="3" t="s">
        <v>391</v>
      </c>
      <c r="B74" s="3" t="s">
        <v>168</v>
      </c>
      <c r="C74" s="3" t="s">
        <v>104</v>
      </c>
      <c r="D74" s="3" t="s">
        <v>392</v>
      </c>
      <c r="E74" s="3" t="s">
        <v>403</v>
      </c>
      <c r="F74" s="3" t="n">
        <v>447</v>
      </c>
      <c r="G74" s="3" t="n">
        <v>104</v>
      </c>
      <c r="H74" s="3" t="n">
        <v>96</v>
      </c>
      <c r="I74" s="3" t="n">
        <v>115.03</v>
      </c>
      <c r="J74" s="3" t="n">
        <v>33.48</v>
      </c>
      <c r="K74" s="3" t="n">
        <v>15</v>
      </c>
      <c r="L74" s="3" t="s">
        <v>401</v>
      </c>
      <c r="M74" s="3" t="n">
        <v>0</v>
      </c>
      <c r="N74" s="3" t="n">
        <v>37.15</v>
      </c>
      <c r="O74" s="3" t="s">
        <v>400</v>
      </c>
    </row>
    <row r="75" customFormat="false" ht="15" hidden="false" customHeight="false" outlineLevel="0" collapsed="false">
      <c r="A75" s="3" t="s">
        <v>391</v>
      </c>
      <c r="B75" s="3" t="s">
        <v>168</v>
      </c>
      <c r="C75" s="3" t="s">
        <v>106</v>
      </c>
      <c r="D75" s="3" t="s">
        <v>402</v>
      </c>
      <c r="E75" s="3" t="s">
        <v>399</v>
      </c>
      <c r="F75" s="3" t="n">
        <v>205</v>
      </c>
      <c r="G75" s="3" t="n">
        <v>46</v>
      </c>
      <c r="H75" s="3" t="n">
        <v>27</v>
      </c>
      <c r="I75" s="3" t="n">
        <v>46.65</v>
      </c>
      <c r="J75" s="3" t="n">
        <v>54.84</v>
      </c>
      <c r="K75" s="3" t="n">
        <v>0</v>
      </c>
      <c r="L75" s="3" t="s">
        <v>398</v>
      </c>
      <c r="M75" s="3" t="n">
        <v>1</v>
      </c>
      <c r="N75" s="3" t="n">
        <v>57.76</v>
      </c>
      <c r="O75" s="3" t="s">
        <v>407</v>
      </c>
    </row>
    <row r="76" customFormat="false" ht="15" hidden="false" customHeight="false" outlineLevel="0" collapsed="false">
      <c r="A76" s="3" t="s">
        <v>391</v>
      </c>
      <c r="B76" s="3" t="s">
        <v>168</v>
      </c>
      <c r="C76" s="3" t="s">
        <v>108</v>
      </c>
      <c r="D76" s="3" t="s">
        <v>402</v>
      </c>
      <c r="E76" s="3" t="s">
        <v>393</v>
      </c>
      <c r="F76" s="3" t="n">
        <v>349</v>
      </c>
      <c r="G76" s="3" t="n">
        <v>9</v>
      </c>
      <c r="H76" s="3" t="n">
        <v>165</v>
      </c>
      <c r="I76" s="3" t="n">
        <v>0.95</v>
      </c>
      <c r="J76" s="3" t="n">
        <v>14.25</v>
      </c>
      <c r="K76" s="3" t="n">
        <v>5</v>
      </c>
      <c r="L76" s="3" t="s">
        <v>394</v>
      </c>
      <c r="M76" s="3" t="n">
        <v>1</v>
      </c>
      <c r="N76" s="3" t="n">
        <v>18.56</v>
      </c>
      <c r="O76" s="3" t="s">
        <v>407</v>
      </c>
    </row>
    <row r="77" customFormat="false" ht="15" hidden="false" customHeight="false" outlineLevel="0" collapsed="false">
      <c r="A77" s="3" t="s">
        <v>391</v>
      </c>
      <c r="B77" s="3" t="s">
        <v>168</v>
      </c>
      <c r="C77" s="3" t="s">
        <v>110</v>
      </c>
      <c r="D77" s="3" t="s">
        <v>405</v>
      </c>
      <c r="E77" s="3" t="s">
        <v>403</v>
      </c>
      <c r="F77" s="3" t="n">
        <v>191</v>
      </c>
      <c r="G77" s="3" t="n">
        <v>56</v>
      </c>
      <c r="H77" s="3" t="n">
        <v>65</v>
      </c>
      <c r="I77" s="3" t="n">
        <v>54.47</v>
      </c>
      <c r="J77" s="3" t="n">
        <v>61.81</v>
      </c>
      <c r="K77" s="3" t="n">
        <v>0</v>
      </c>
      <c r="L77" s="3" t="s">
        <v>398</v>
      </c>
      <c r="M77" s="3" t="n">
        <v>0</v>
      </c>
      <c r="N77" s="3" t="n">
        <v>63.92</v>
      </c>
      <c r="O77" s="3" t="s">
        <v>395</v>
      </c>
    </row>
    <row r="78" customFormat="false" ht="15" hidden="false" customHeight="false" outlineLevel="0" collapsed="false">
      <c r="A78" s="3" t="s">
        <v>391</v>
      </c>
      <c r="B78" s="3" t="s">
        <v>168</v>
      </c>
      <c r="C78" s="3" t="s">
        <v>112</v>
      </c>
      <c r="D78" s="3" t="s">
        <v>402</v>
      </c>
      <c r="E78" s="3" t="s">
        <v>399</v>
      </c>
      <c r="F78" s="3" t="n">
        <v>406</v>
      </c>
      <c r="G78" s="3" t="n">
        <v>63</v>
      </c>
      <c r="H78" s="3" t="n">
        <v>139</v>
      </c>
      <c r="I78" s="3" t="n">
        <v>69.73</v>
      </c>
      <c r="J78" s="3" t="n">
        <v>66.94</v>
      </c>
      <c r="K78" s="3" t="n">
        <v>10</v>
      </c>
      <c r="L78" s="3" t="s">
        <v>408</v>
      </c>
      <c r="M78" s="3" t="n">
        <v>1</v>
      </c>
      <c r="N78" s="3" t="n">
        <v>68.47</v>
      </c>
      <c r="O78" s="3" t="s">
        <v>404</v>
      </c>
    </row>
    <row r="79" customFormat="false" ht="15" hidden="false" customHeight="false" outlineLevel="0" collapsed="false">
      <c r="A79" s="3" t="s">
        <v>391</v>
      </c>
      <c r="B79" s="3" t="s">
        <v>168</v>
      </c>
      <c r="C79" s="3" t="s">
        <v>114</v>
      </c>
      <c r="D79" s="3" t="s">
        <v>406</v>
      </c>
      <c r="E79" s="3" t="s">
        <v>397</v>
      </c>
      <c r="F79" s="3" t="n">
        <v>228</v>
      </c>
      <c r="G79" s="3" t="n">
        <v>181</v>
      </c>
      <c r="H79" s="3" t="n">
        <v>127</v>
      </c>
      <c r="I79" s="3" t="n">
        <v>171.96</v>
      </c>
      <c r="J79" s="3" t="n">
        <v>60.54</v>
      </c>
      <c r="K79" s="3" t="n">
        <v>5</v>
      </c>
      <c r="L79" s="3" t="s">
        <v>401</v>
      </c>
      <c r="M79" s="3" t="n">
        <v>0</v>
      </c>
      <c r="N79" s="3" t="n">
        <v>65.27</v>
      </c>
      <c r="O79" s="3" t="s">
        <v>395</v>
      </c>
    </row>
    <row r="80" customFormat="false" ht="15" hidden="false" customHeight="false" outlineLevel="0" collapsed="false">
      <c r="A80" s="3" t="s">
        <v>391</v>
      </c>
      <c r="B80" s="3" t="s">
        <v>168</v>
      </c>
      <c r="C80" s="3" t="s">
        <v>116</v>
      </c>
      <c r="D80" s="3" t="s">
        <v>392</v>
      </c>
      <c r="E80" s="3" t="s">
        <v>397</v>
      </c>
      <c r="F80" s="3" t="n">
        <v>263</v>
      </c>
      <c r="G80" s="3" t="n">
        <v>94</v>
      </c>
      <c r="H80" s="3" t="n">
        <v>24</v>
      </c>
      <c r="I80" s="3" t="n">
        <v>98.05</v>
      </c>
      <c r="J80" s="3" t="n">
        <v>94.26</v>
      </c>
      <c r="K80" s="3" t="n">
        <v>15</v>
      </c>
      <c r="L80" s="3" t="s">
        <v>394</v>
      </c>
      <c r="M80" s="3" t="n">
        <v>0</v>
      </c>
      <c r="N80" s="3" t="n">
        <v>96.74</v>
      </c>
      <c r="O80" s="3" t="s">
        <v>400</v>
      </c>
    </row>
    <row r="81" customFormat="false" ht="15" hidden="false" customHeight="false" outlineLevel="0" collapsed="false">
      <c r="A81" s="3" t="s">
        <v>391</v>
      </c>
      <c r="B81" s="3" t="s">
        <v>168</v>
      </c>
      <c r="C81" s="3" t="s">
        <v>118</v>
      </c>
      <c r="D81" s="3" t="s">
        <v>402</v>
      </c>
      <c r="E81" s="3" t="s">
        <v>397</v>
      </c>
      <c r="F81" s="3" t="n">
        <v>203</v>
      </c>
      <c r="G81" s="3" t="n">
        <v>46</v>
      </c>
      <c r="H81" s="3" t="n">
        <v>75</v>
      </c>
      <c r="I81" s="3" t="n">
        <v>55.12</v>
      </c>
      <c r="J81" s="3" t="n">
        <v>25.55</v>
      </c>
      <c r="K81" s="3" t="n">
        <v>0</v>
      </c>
      <c r="L81" s="3" t="s">
        <v>394</v>
      </c>
      <c r="M81" s="3" t="n">
        <v>0</v>
      </c>
      <c r="N81" s="3" t="n">
        <v>28.07</v>
      </c>
      <c r="O81" s="3" t="s">
        <v>404</v>
      </c>
    </row>
    <row r="82" customFormat="false" ht="15" hidden="false" customHeight="false" outlineLevel="0" collapsed="false">
      <c r="A82" s="3" t="s">
        <v>391</v>
      </c>
      <c r="B82" s="3" t="s">
        <v>168</v>
      </c>
      <c r="C82" s="3" t="s">
        <v>120</v>
      </c>
      <c r="D82" s="3" t="s">
        <v>392</v>
      </c>
      <c r="E82" s="3" t="s">
        <v>399</v>
      </c>
      <c r="F82" s="3" t="n">
        <v>143</v>
      </c>
      <c r="G82" s="3" t="n">
        <v>8</v>
      </c>
      <c r="H82" s="3" t="n">
        <v>27</v>
      </c>
      <c r="I82" s="3" t="n">
        <v>27.3</v>
      </c>
      <c r="J82" s="3" t="n">
        <v>16.73</v>
      </c>
      <c r="K82" s="3" t="n">
        <v>5</v>
      </c>
      <c r="L82" s="3" t="s">
        <v>401</v>
      </c>
      <c r="M82" s="3" t="n">
        <v>1</v>
      </c>
      <c r="N82" s="3" t="n">
        <v>18.79</v>
      </c>
      <c r="O82" s="3" t="s">
        <v>407</v>
      </c>
    </row>
    <row r="83" customFormat="false" ht="15" hidden="false" customHeight="false" outlineLevel="0" collapsed="false">
      <c r="A83" s="3" t="s">
        <v>391</v>
      </c>
      <c r="B83" s="3" t="s">
        <v>168</v>
      </c>
      <c r="C83" s="3" t="s">
        <v>122</v>
      </c>
      <c r="D83" s="3" t="s">
        <v>392</v>
      </c>
      <c r="E83" s="3" t="s">
        <v>399</v>
      </c>
      <c r="F83" s="3" t="n">
        <v>359</v>
      </c>
      <c r="G83" s="3" t="n">
        <v>172</v>
      </c>
      <c r="H83" s="3" t="n">
        <v>125</v>
      </c>
      <c r="I83" s="3" t="n">
        <v>181.25</v>
      </c>
      <c r="J83" s="3" t="n">
        <v>71.2</v>
      </c>
      <c r="K83" s="3" t="n">
        <v>15</v>
      </c>
      <c r="L83" s="3" t="s">
        <v>394</v>
      </c>
      <c r="M83" s="3" t="n">
        <v>1</v>
      </c>
      <c r="N83" s="3" t="n">
        <v>73.85</v>
      </c>
      <c r="O83" s="3" t="s">
        <v>407</v>
      </c>
    </row>
    <row r="84" customFormat="false" ht="15" hidden="false" customHeight="false" outlineLevel="0" collapsed="false">
      <c r="A84" s="3" t="s">
        <v>391</v>
      </c>
      <c r="B84" s="3" t="s">
        <v>168</v>
      </c>
      <c r="C84" s="3" t="s">
        <v>124</v>
      </c>
      <c r="D84" s="3" t="s">
        <v>406</v>
      </c>
      <c r="E84" s="3" t="s">
        <v>399</v>
      </c>
      <c r="F84" s="3" t="n">
        <v>211</v>
      </c>
      <c r="G84" s="3" t="n">
        <v>68</v>
      </c>
      <c r="H84" s="3" t="n">
        <v>37</v>
      </c>
      <c r="I84" s="3" t="n">
        <v>86.27</v>
      </c>
      <c r="J84" s="3" t="n">
        <v>11.5</v>
      </c>
      <c r="K84" s="3" t="n">
        <v>20</v>
      </c>
      <c r="L84" s="3" t="s">
        <v>408</v>
      </c>
      <c r="M84" s="3" t="n">
        <v>0</v>
      </c>
      <c r="N84" s="3" t="n">
        <v>9.26</v>
      </c>
      <c r="O84" s="3" t="s">
        <v>404</v>
      </c>
    </row>
    <row r="85" customFormat="false" ht="15" hidden="false" customHeight="false" outlineLevel="0" collapsed="false">
      <c r="A85" s="3" t="s">
        <v>391</v>
      </c>
      <c r="B85" s="3" t="s">
        <v>189</v>
      </c>
      <c r="C85" s="3" t="s">
        <v>86</v>
      </c>
      <c r="D85" s="3" t="s">
        <v>396</v>
      </c>
      <c r="E85" s="3" t="s">
        <v>399</v>
      </c>
      <c r="F85" s="3" t="n">
        <v>111</v>
      </c>
      <c r="G85" s="3" t="n">
        <v>77</v>
      </c>
      <c r="H85" s="3" t="n">
        <v>60</v>
      </c>
      <c r="I85" s="3" t="n">
        <v>83.47</v>
      </c>
      <c r="J85" s="3" t="n">
        <v>70.33</v>
      </c>
      <c r="K85" s="3" t="n">
        <v>10</v>
      </c>
      <c r="L85" s="3" t="s">
        <v>401</v>
      </c>
      <c r="M85" s="3" t="n">
        <v>0</v>
      </c>
      <c r="N85" s="3" t="n">
        <v>70.29</v>
      </c>
      <c r="O85" s="3" t="s">
        <v>404</v>
      </c>
    </row>
    <row r="86" customFormat="false" ht="15" hidden="false" customHeight="false" outlineLevel="0" collapsed="false">
      <c r="A86" s="3" t="s">
        <v>391</v>
      </c>
      <c r="B86" s="3" t="s">
        <v>189</v>
      </c>
      <c r="C86" s="3" t="s">
        <v>88</v>
      </c>
      <c r="D86" s="3" t="s">
        <v>406</v>
      </c>
      <c r="E86" s="3" t="s">
        <v>399</v>
      </c>
      <c r="F86" s="3" t="n">
        <v>415</v>
      </c>
      <c r="G86" s="3" t="n">
        <v>298</v>
      </c>
      <c r="H86" s="3" t="n">
        <v>107</v>
      </c>
      <c r="I86" s="3" t="n">
        <v>292.96</v>
      </c>
      <c r="J86" s="3" t="n">
        <v>57.15</v>
      </c>
      <c r="K86" s="3" t="n">
        <v>5</v>
      </c>
      <c r="L86" s="3" t="s">
        <v>408</v>
      </c>
      <c r="M86" s="3" t="n">
        <v>1</v>
      </c>
      <c r="N86" s="3" t="n">
        <v>60.71</v>
      </c>
      <c r="O86" s="3" t="s">
        <v>395</v>
      </c>
    </row>
    <row r="87" customFormat="false" ht="15" hidden="false" customHeight="false" outlineLevel="0" collapsed="false">
      <c r="A87" s="3" t="s">
        <v>391</v>
      </c>
      <c r="B87" s="3" t="s">
        <v>189</v>
      </c>
      <c r="C87" s="3" t="s">
        <v>90</v>
      </c>
      <c r="D87" s="3" t="s">
        <v>402</v>
      </c>
      <c r="E87" s="3" t="s">
        <v>393</v>
      </c>
      <c r="F87" s="3" t="n">
        <v>384</v>
      </c>
      <c r="G87" s="3" t="n">
        <v>64</v>
      </c>
      <c r="H87" s="3" t="n">
        <v>26</v>
      </c>
      <c r="I87" s="3" t="n">
        <v>76.02</v>
      </c>
      <c r="J87" s="3" t="n">
        <v>36.17</v>
      </c>
      <c r="K87" s="3" t="n">
        <v>5</v>
      </c>
      <c r="L87" s="3" t="s">
        <v>398</v>
      </c>
      <c r="M87" s="3" t="n">
        <v>0</v>
      </c>
      <c r="N87" s="3" t="n">
        <v>40.93</v>
      </c>
      <c r="O87" s="3" t="s">
        <v>407</v>
      </c>
    </row>
    <row r="88" customFormat="false" ht="15" hidden="false" customHeight="false" outlineLevel="0" collapsed="false">
      <c r="A88" s="3" t="s">
        <v>391</v>
      </c>
      <c r="B88" s="3" t="s">
        <v>189</v>
      </c>
      <c r="C88" s="3" t="s">
        <v>92</v>
      </c>
      <c r="D88" s="3" t="s">
        <v>405</v>
      </c>
      <c r="E88" s="3" t="s">
        <v>399</v>
      </c>
      <c r="F88" s="3" t="n">
        <v>436</v>
      </c>
      <c r="G88" s="3" t="n">
        <v>300</v>
      </c>
      <c r="H88" s="3" t="n">
        <v>174</v>
      </c>
      <c r="I88" s="3" t="n">
        <v>292.04</v>
      </c>
      <c r="J88" s="3" t="n">
        <v>50.77</v>
      </c>
      <c r="K88" s="3" t="n">
        <v>15</v>
      </c>
      <c r="L88" s="3" t="s">
        <v>408</v>
      </c>
      <c r="M88" s="3" t="n">
        <v>1</v>
      </c>
      <c r="N88" s="3" t="n">
        <v>54.7</v>
      </c>
      <c r="O88" s="3" t="s">
        <v>407</v>
      </c>
    </row>
    <row r="89" customFormat="false" ht="15" hidden="false" customHeight="false" outlineLevel="0" collapsed="false">
      <c r="A89" s="3" t="s">
        <v>391</v>
      </c>
      <c r="B89" s="3" t="s">
        <v>189</v>
      </c>
      <c r="C89" s="3" t="s">
        <v>94</v>
      </c>
      <c r="D89" s="3" t="s">
        <v>406</v>
      </c>
      <c r="E89" s="3" t="s">
        <v>399</v>
      </c>
      <c r="F89" s="3" t="n">
        <v>180</v>
      </c>
      <c r="G89" s="3" t="n">
        <v>21</v>
      </c>
      <c r="H89" s="3" t="n">
        <v>47</v>
      </c>
      <c r="I89" s="3" t="n">
        <v>38.63</v>
      </c>
      <c r="J89" s="3" t="n">
        <v>92.86</v>
      </c>
      <c r="K89" s="3" t="n">
        <v>15</v>
      </c>
      <c r="L89" s="3" t="s">
        <v>394</v>
      </c>
      <c r="M89" s="3" t="n">
        <v>1</v>
      </c>
      <c r="N89" s="3" t="n">
        <v>96.3</v>
      </c>
      <c r="O89" s="3" t="s">
        <v>404</v>
      </c>
    </row>
    <row r="90" customFormat="false" ht="15" hidden="false" customHeight="false" outlineLevel="0" collapsed="false">
      <c r="A90" s="3" t="s">
        <v>391</v>
      </c>
      <c r="B90" s="3" t="s">
        <v>189</v>
      </c>
      <c r="C90" s="3" t="s">
        <v>96</v>
      </c>
      <c r="D90" s="3" t="s">
        <v>392</v>
      </c>
      <c r="E90" s="3" t="s">
        <v>393</v>
      </c>
      <c r="F90" s="3" t="n">
        <v>185</v>
      </c>
      <c r="G90" s="3" t="n">
        <v>176</v>
      </c>
      <c r="H90" s="3" t="n">
        <v>163</v>
      </c>
      <c r="I90" s="3" t="n">
        <v>174.06</v>
      </c>
      <c r="J90" s="3" t="n">
        <v>60.76</v>
      </c>
      <c r="K90" s="3" t="n">
        <v>20</v>
      </c>
      <c r="L90" s="3" t="s">
        <v>401</v>
      </c>
      <c r="M90" s="3" t="n">
        <v>0</v>
      </c>
      <c r="N90" s="3" t="n">
        <v>61.15</v>
      </c>
      <c r="O90" s="3" t="s">
        <v>400</v>
      </c>
    </row>
    <row r="91" customFormat="false" ht="15" hidden="false" customHeight="false" outlineLevel="0" collapsed="false">
      <c r="A91" s="3" t="s">
        <v>391</v>
      </c>
      <c r="B91" s="3" t="s">
        <v>189</v>
      </c>
      <c r="C91" s="3" t="s">
        <v>98</v>
      </c>
      <c r="D91" s="3" t="s">
        <v>406</v>
      </c>
      <c r="E91" s="3" t="s">
        <v>397</v>
      </c>
      <c r="F91" s="3" t="n">
        <v>292</v>
      </c>
      <c r="G91" s="3" t="n">
        <v>131</v>
      </c>
      <c r="H91" s="3" t="n">
        <v>140</v>
      </c>
      <c r="I91" s="3" t="n">
        <v>122.6</v>
      </c>
      <c r="J91" s="3" t="n">
        <v>46.47</v>
      </c>
      <c r="K91" s="3" t="n">
        <v>15</v>
      </c>
      <c r="L91" s="3" t="s">
        <v>408</v>
      </c>
      <c r="M91" s="3" t="n">
        <v>0</v>
      </c>
      <c r="N91" s="3" t="n">
        <v>50.84</v>
      </c>
      <c r="O91" s="3" t="s">
        <v>400</v>
      </c>
    </row>
    <row r="92" customFormat="false" ht="15" hidden="false" customHeight="false" outlineLevel="0" collapsed="false">
      <c r="A92" s="3" t="s">
        <v>391</v>
      </c>
      <c r="B92" s="3" t="s">
        <v>189</v>
      </c>
      <c r="C92" s="3" t="s">
        <v>100</v>
      </c>
      <c r="D92" s="3" t="s">
        <v>396</v>
      </c>
      <c r="E92" s="3" t="s">
        <v>399</v>
      </c>
      <c r="F92" s="3" t="n">
        <v>478</v>
      </c>
      <c r="G92" s="3" t="n">
        <v>317</v>
      </c>
      <c r="H92" s="3" t="n">
        <v>197</v>
      </c>
      <c r="I92" s="3" t="n">
        <v>328.64</v>
      </c>
      <c r="J92" s="3" t="n">
        <v>34.08</v>
      </c>
      <c r="K92" s="3" t="n">
        <v>5</v>
      </c>
      <c r="L92" s="3" t="s">
        <v>408</v>
      </c>
      <c r="M92" s="3" t="n">
        <v>1</v>
      </c>
      <c r="N92" s="3" t="n">
        <v>30.44</v>
      </c>
      <c r="O92" s="3" t="s">
        <v>404</v>
      </c>
    </row>
    <row r="93" customFormat="false" ht="15" hidden="false" customHeight="false" outlineLevel="0" collapsed="false">
      <c r="A93" s="3" t="s">
        <v>391</v>
      </c>
      <c r="B93" s="3" t="s">
        <v>189</v>
      </c>
      <c r="C93" s="3" t="s">
        <v>102</v>
      </c>
      <c r="D93" s="3" t="s">
        <v>392</v>
      </c>
      <c r="E93" s="3" t="s">
        <v>399</v>
      </c>
      <c r="F93" s="3" t="n">
        <v>182</v>
      </c>
      <c r="G93" s="3" t="n">
        <v>97</v>
      </c>
      <c r="H93" s="3" t="n">
        <v>27</v>
      </c>
      <c r="I93" s="3" t="n">
        <v>92.62</v>
      </c>
      <c r="J93" s="3" t="n">
        <v>87.81</v>
      </c>
      <c r="K93" s="3" t="n">
        <v>5</v>
      </c>
      <c r="L93" s="3" t="s">
        <v>408</v>
      </c>
      <c r="M93" s="3" t="n">
        <v>0</v>
      </c>
      <c r="N93" s="3" t="n">
        <v>85.45</v>
      </c>
      <c r="O93" s="3" t="s">
        <v>407</v>
      </c>
    </row>
    <row r="94" customFormat="false" ht="15" hidden="false" customHeight="false" outlineLevel="0" collapsed="false">
      <c r="A94" s="3" t="s">
        <v>391</v>
      </c>
      <c r="B94" s="3" t="s">
        <v>189</v>
      </c>
      <c r="C94" s="3" t="s">
        <v>104</v>
      </c>
      <c r="D94" s="3" t="s">
        <v>406</v>
      </c>
      <c r="E94" s="3" t="s">
        <v>403</v>
      </c>
      <c r="F94" s="3" t="n">
        <v>87</v>
      </c>
      <c r="G94" s="3" t="n">
        <v>8</v>
      </c>
      <c r="H94" s="3" t="n">
        <v>141</v>
      </c>
      <c r="I94" s="3" t="n">
        <v>14.38</v>
      </c>
      <c r="J94" s="3" t="n">
        <v>37.04</v>
      </c>
      <c r="K94" s="3" t="n">
        <v>10</v>
      </c>
      <c r="L94" s="3" t="s">
        <v>394</v>
      </c>
      <c r="M94" s="3" t="n">
        <v>1</v>
      </c>
      <c r="N94" s="3" t="n">
        <v>36.87</v>
      </c>
      <c r="O94" s="3" t="s">
        <v>400</v>
      </c>
    </row>
    <row r="95" customFormat="false" ht="15" hidden="false" customHeight="false" outlineLevel="0" collapsed="false">
      <c r="A95" s="3" t="s">
        <v>391</v>
      </c>
      <c r="B95" s="3" t="s">
        <v>189</v>
      </c>
      <c r="C95" s="3" t="s">
        <v>106</v>
      </c>
      <c r="D95" s="3" t="s">
        <v>392</v>
      </c>
      <c r="E95" s="3" t="s">
        <v>399</v>
      </c>
      <c r="F95" s="3" t="n">
        <v>427</v>
      </c>
      <c r="G95" s="3" t="n">
        <v>104</v>
      </c>
      <c r="H95" s="3" t="n">
        <v>128</v>
      </c>
      <c r="I95" s="3" t="n">
        <v>94.65</v>
      </c>
      <c r="J95" s="3" t="n">
        <v>54.12</v>
      </c>
      <c r="K95" s="3" t="n">
        <v>10</v>
      </c>
      <c r="L95" s="3" t="s">
        <v>394</v>
      </c>
      <c r="M95" s="3" t="n">
        <v>1</v>
      </c>
      <c r="N95" s="3" t="n">
        <v>53.03</v>
      </c>
      <c r="O95" s="3" t="s">
        <v>400</v>
      </c>
    </row>
    <row r="96" customFormat="false" ht="15" hidden="false" customHeight="false" outlineLevel="0" collapsed="false">
      <c r="A96" s="3" t="s">
        <v>391</v>
      </c>
      <c r="B96" s="3" t="s">
        <v>189</v>
      </c>
      <c r="C96" s="3" t="s">
        <v>108</v>
      </c>
      <c r="D96" s="3" t="s">
        <v>402</v>
      </c>
      <c r="E96" s="3" t="s">
        <v>399</v>
      </c>
      <c r="F96" s="3" t="n">
        <v>245</v>
      </c>
      <c r="G96" s="3" t="n">
        <v>87</v>
      </c>
      <c r="H96" s="3" t="n">
        <v>188</v>
      </c>
      <c r="I96" s="3" t="n">
        <v>90.59</v>
      </c>
      <c r="J96" s="3" t="n">
        <v>67.64</v>
      </c>
      <c r="K96" s="3" t="n">
        <v>15</v>
      </c>
      <c r="L96" s="3" t="s">
        <v>398</v>
      </c>
      <c r="M96" s="3" t="n">
        <v>0</v>
      </c>
      <c r="N96" s="3" t="n">
        <v>63.53</v>
      </c>
      <c r="O96" s="3" t="s">
        <v>400</v>
      </c>
    </row>
    <row r="97" customFormat="false" ht="15" hidden="false" customHeight="false" outlineLevel="0" collapsed="false">
      <c r="A97" s="3" t="s">
        <v>391</v>
      </c>
      <c r="B97" s="3" t="s">
        <v>189</v>
      </c>
      <c r="C97" s="3" t="s">
        <v>110</v>
      </c>
      <c r="D97" s="3" t="s">
        <v>405</v>
      </c>
      <c r="E97" s="3" t="s">
        <v>397</v>
      </c>
      <c r="F97" s="3" t="n">
        <v>317</v>
      </c>
      <c r="G97" s="3" t="n">
        <v>238</v>
      </c>
      <c r="H97" s="3" t="n">
        <v>95</v>
      </c>
      <c r="I97" s="3" t="n">
        <v>256.57</v>
      </c>
      <c r="J97" s="3" t="n">
        <v>82.18</v>
      </c>
      <c r="K97" s="3" t="n">
        <v>5</v>
      </c>
      <c r="L97" s="3" t="s">
        <v>401</v>
      </c>
      <c r="M97" s="3" t="n">
        <v>0</v>
      </c>
      <c r="N97" s="3" t="n">
        <v>87.09</v>
      </c>
      <c r="O97" s="3" t="s">
        <v>400</v>
      </c>
    </row>
    <row r="98" customFormat="false" ht="15" hidden="false" customHeight="false" outlineLevel="0" collapsed="false">
      <c r="A98" s="3" t="s">
        <v>391</v>
      </c>
      <c r="B98" s="3" t="s">
        <v>189</v>
      </c>
      <c r="C98" s="3" t="s">
        <v>112</v>
      </c>
      <c r="D98" s="3" t="s">
        <v>402</v>
      </c>
      <c r="E98" s="3" t="s">
        <v>397</v>
      </c>
      <c r="F98" s="3" t="n">
        <v>325</v>
      </c>
      <c r="G98" s="3" t="n">
        <v>171</v>
      </c>
      <c r="H98" s="3" t="n">
        <v>43</v>
      </c>
      <c r="I98" s="3" t="n">
        <v>188.55</v>
      </c>
      <c r="J98" s="3" t="n">
        <v>42.62</v>
      </c>
      <c r="K98" s="3" t="n">
        <v>20</v>
      </c>
      <c r="L98" s="3" t="s">
        <v>401</v>
      </c>
      <c r="M98" s="3" t="n">
        <v>1</v>
      </c>
      <c r="N98" s="3" t="n">
        <v>42.01</v>
      </c>
      <c r="O98" s="3" t="s">
        <v>395</v>
      </c>
    </row>
    <row r="99" customFormat="false" ht="15" hidden="false" customHeight="false" outlineLevel="0" collapsed="false">
      <c r="A99" s="3" t="s">
        <v>391</v>
      </c>
      <c r="B99" s="3" t="s">
        <v>189</v>
      </c>
      <c r="C99" s="3" t="s">
        <v>114</v>
      </c>
      <c r="D99" s="3" t="s">
        <v>405</v>
      </c>
      <c r="E99" s="3" t="s">
        <v>399</v>
      </c>
      <c r="F99" s="3" t="n">
        <v>411</v>
      </c>
      <c r="G99" s="3" t="n">
        <v>250</v>
      </c>
      <c r="H99" s="3" t="n">
        <v>119</v>
      </c>
      <c r="I99" s="3" t="n">
        <v>260.79</v>
      </c>
      <c r="J99" s="3" t="n">
        <v>11.54</v>
      </c>
      <c r="K99" s="3" t="n">
        <v>10</v>
      </c>
      <c r="L99" s="3" t="s">
        <v>401</v>
      </c>
      <c r="M99" s="3" t="n">
        <v>0</v>
      </c>
      <c r="N99" s="3" t="n">
        <v>11.27</v>
      </c>
      <c r="O99" s="3" t="s">
        <v>407</v>
      </c>
    </row>
    <row r="100" customFormat="false" ht="15" hidden="false" customHeight="false" outlineLevel="0" collapsed="false">
      <c r="A100" s="3" t="s">
        <v>391</v>
      </c>
      <c r="B100" s="3" t="s">
        <v>189</v>
      </c>
      <c r="C100" s="3" t="s">
        <v>116</v>
      </c>
      <c r="D100" s="3" t="s">
        <v>406</v>
      </c>
      <c r="E100" s="3" t="s">
        <v>397</v>
      </c>
      <c r="F100" s="3" t="n">
        <v>71</v>
      </c>
      <c r="G100" s="3" t="n">
        <v>11</v>
      </c>
      <c r="H100" s="3" t="n">
        <v>32</v>
      </c>
      <c r="I100" s="3" t="n">
        <v>1.85</v>
      </c>
      <c r="J100" s="3" t="n">
        <v>16.3</v>
      </c>
      <c r="K100" s="3" t="n">
        <v>5</v>
      </c>
      <c r="L100" s="3" t="s">
        <v>398</v>
      </c>
      <c r="M100" s="3" t="n">
        <v>0</v>
      </c>
      <c r="N100" s="3" t="n">
        <v>17.98</v>
      </c>
      <c r="O100" s="3" t="s">
        <v>404</v>
      </c>
    </row>
    <row r="101" customFormat="false" ht="15" hidden="false" customHeight="false" outlineLevel="0" collapsed="false">
      <c r="A101" s="3" t="s">
        <v>391</v>
      </c>
      <c r="B101" s="3" t="s">
        <v>189</v>
      </c>
      <c r="C101" s="3" t="s">
        <v>118</v>
      </c>
      <c r="D101" s="3" t="s">
        <v>402</v>
      </c>
      <c r="E101" s="3" t="s">
        <v>403</v>
      </c>
      <c r="F101" s="3" t="n">
        <v>388</v>
      </c>
      <c r="G101" s="3" t="n">
        <v>371</v>
      </c>
      <c r="H101" s="3" t="n">
        <v>98</v>
      </c>
      <c r="I101" s="3" t="n">
        <v>390.04</v>
      </c>
      <c r="J101" s="3" t="n">
        <v>98.31</v>
      </c>
      <c r="K101" s="3" t="n">
        <v>15</v>
      </c>
      <c r="L101" s="3" t="s">
        <v>398</v>
      </c>
      <c r="M101" s="3" t="n">
        <v>1</v>
      </c>
      <c r="N101" s="3" t="n">
        <v>102.42</v>
      </c>
      <c r="O101" s="3" t="s">
        <v>407</v>
      </c>
    </row>
    <row r="102" customFormat="false" ht="15" hidden="false" customHeight="false" outlineLevel="0" collapsed="false">
      <c r="A102" s="3" t="s">
        <v>391</v>
      </c>
      <c r="B102" s="3" t="s">
        <v>189</v>
      </c>
      <c r="C102" s="3" t="s">
        <v>120</v>
      </c>
      <c r="D102" s="3" t="s">
        <v>405</v>
      </c>
      <c r="E102" s="3" t="s">
        <v>399</v>
      </c>
      <c r="F102" s="3" t="n">
        <v>161</v>
      </c>
      <c r="G102" s="3" t="n">
        <v>107</v>
      </c>
      <c r="H102" s="3" t="n">
        <v>66</v>
      </c>
      <c r="I102" s="3" t="n">
        <v>103.97</v>
      </c>
      <c r="J102" s="3" t="n">
        <v>48.96</v>
      </c>
      <c r="K102" s="3" t="n">
        <v>10</v>
      </c>
      <c r="L102" s="3" t="s">
        <v>408</v>
      </c>
      <c r="M102" s="3" t="n">
        <v>1</v>
      </c>
      <c r="N102" s="3" t="n">
        <v>50.03</v>
      </c>
      <c r="O102" s="3" t="s">
        <v>407</v>
      </c>
    </row>
    <row r="103" customFormat="false" ht="15" hidden="false" customHeight="false" outlineLevel="0" collapsed="false">
      <c r="A103" s="3" t="s">
        <v>391</v>
      </c>
      <c r="B103" s="3" t="s">
        <v>189</v>
      </c>
      <c r="C103" s="3" t="s">
        <v>122</v>
      </c>
      <c r="D103" s="3" t="s">
        <v>392</v>
      </c>
      <c r="E103" s="3" t="s">
        <v>397</v>
      </c>
      <c r="F103" s="3" t="n">
        <v>235</v>
      </c>
      <c r="G103" s="3" t="n">
        <v>106</v>
      </c>
      <c r="H103" s="3" t="n">
        <v>124</v>
      </c>
      <c r="I103" s="3" t="n">
        <v>119.33</v>
      </c>
      <c r="J103" s="3" t="n">
        <v>88.22</v>
      </c>
      <c r="K103" s="3" t="n">
        <v>5</v>
      </c>
      <c r="L103" s="3" t="s">
        <v>394</v>
      </c>
      <c r="M103" s="3" t="n">
        <v>0</v>
      </c>
      <c r="N103" s="3" t="n">
        <v>91.16</v>
      </c>
      <c r="O103" s="3" t="s">
        <v>407</v>
      </c>
    </row>
    <row r="104" customFormat="false" ht="15" hidden="false" customHeight="false" outlineLevel="0" collapsed="false">
      <c r="A104" s="3" t="s">
        <v>391</v>
      </c>
      <c r="B104" s="3" t="s">
        <v>189</v>
      </c>
      <c r="C104" s="3" t="s">
        <v>124</v>
      </c>
      <c r="D104" s="3" t="s">
        <v>402</v>
      </c>
      <c r="E104" s="3" t="s">
        <v>397</v>
      </c>
      <c r="F104" s="3" t="n">
        <v>108</v>
      </c>
      <c r="G104" s="3" t="n">
        <v>101</v>
      </c>
      <c r="H104" s="3" t="n">
        <v>52</v>
      </c>
      <c r="I104" s="3" t="n">
        <v>105.92</v>
      </c>
      <c r="J104" s="3" t="n">
        <v>11.04</v>
      </c>
      <c r="K104" s="3" t="n">
        <v>10</v>
      </c>
      <c r="L104" s="3" t="s">
        <v>408</v>
      </c>
      <c r="M104" s="3" t="n">
        <v>1</v>
      </c>
      <c r="N104" s="3" t="n">
        <v>9.14</v>
      </c>
      <c r="O104" s="3" t="s">
        <v>395</v>
      </c>
    </row>
    <row r="105" customFormat="false" ht="15" hidden="false" customHeight="false" outlineLevel="0" collapsed="false">
      <c r="A105" s="3" t="s">
        <v>409</v>
      </c>
      <c r="B105" s="3" t="s">
        <v>85</v>
      </c>
      <c r="C105" s="3" t="s">
        <v>86</v>
      </c>
      <c r="D105" s="3" t="s">
        <v>392</v>
      </c>
      <c r="E105" s="3" t="s">
        <v>399</v>
      </c>
      <c r="F105" s="3" t="n">
        <v>116</v>
      </c>
      <c r="G105" s="3" t="n">
        <v>81</v>
      </c>
      <c r="H105" s="3" t="n">
        <v>104</v>
      </c>
      <c r="I105" s="3" t="n">
        <v>92.94</v>
      </c>
      <c r="J105" s="3" t="n">
        <v>27.95</v>
      </c>
      <c r="K105" s="3" t="n">
        <v>10</v>
      </c>
      <c r="L105" s="3" t="s">
        <v>401</v>
      </c>
      <c r="M105" s="3" t="n">
        <v>0</v>
      </c>
      <c r="N105" s="3" t="n">
        <v>30.89</v>
      </c>
      <c r="O105" s="3" t="s">
        <v>407</v>
      </c>
    </row>
    <row r="106" customFormat="false" ht="15" hidden="false" customHeight="false" outlineLevel="0" collapsed="false">
      <c r="A106" s="3" t="s">
        <v>409</v>
      </c>
      <c r="B106" s="3" t="s">
        <v>85</v>
      </c>
      <c r="C106" s="3" t="s">
        <v>88</v>
      </c>
      <c r="D106" s="3" t="s">
        <v>406</v>
      </c>
      <c r="E106" s="3" t="s">
        <v>399</v>
      </c>
      <c r="F106" s="3" t="n">
        <v>416</v>
      </c>
      <c r="G106" s="3" t="n">
        <v>163</v>
      </c>
      <c r="H106" s="3" t="n">
        <v>79</v>
      </c>
      <c r="I106" s="3" t="n">
        <v>171.6</v>
      </c>
      <c r="J106" s="3" t="n">
        <v>19.78</v>
      </c>
      <c r="K106" s="3" t="n">
        <v>15</v>
      </c>
      <c r="L106" s="3" t="s">
        <v>401</v>
      </c>
      <c r="M106" s="3" t="n">
        <v>0</v>
      </c>
      <c r="N106" s="3" t="n">
        <v>18.76</v>
      </c>
      <c r="O106" s="3" t="s">
        <v>407</v>
      </c>
    </row>
    <row r="107" customFormat="false" ht="15" hidden="false" customHeight="false" outlineLevel="0" collapsed="false">
      <c r="A107" s="3" t="s">
        <v>409</v>
      </c>
      <c r="B107" s="3" t="s">
        <v>85</v>
      </c>
      <c r="C107" s="3" t="s">
        <v>90</v>
      </c>
      <c r="D107" s="3" t="s">
        <v>406</v>
      </c>
      <c r="E107" s="3" t="s">
        <v>397</v>
      </c>
      <c r="F107" s="3" t="n">
        <v>488</v>
      </c>
      <c r="G107" s="3" t="n">
        <v>464</v>
      </c>
      <c r="H107" s="3" t="n">
        <v>163</v>
      </c>
      <c r="I107" s="3" t="n">
        <v>463.12</v>
      </c>
      <c r="J107" s="3" t="n">
        <v>70.99</v>
      </c>
      <c r="K107" s="3" t="n">
        <v>10</v>
      </c>
      <c r="L107" s="3" t="s">
        <v>408</v>
      </c>
      <c r="M107" s="3" t="n">
        <v>0</v>
      </c>
      <c r="N107" s="3" t="n">
        <v>72.93</v>
      </c>
      <c r="O107" s="3" t="s">
        <v>400</v>
      </c>
    </row>
    <row r="108" customFormat="false" ht="15" hidden="false" customHeight="false" outlineLevel="0" collapsed="false">
      <c r="A108" s="3" t="s">
        <v>409</v>
      </c>
      <c r="B108" s="3" t="s">
        <v>85</v>
      </c>
      <c r="C108" s="3" t="s">
        <v>92</v>
      </c>
      <c r="D108" s="3" t="s">
        <v>392</v>
      </c>
      <c r="E108" s="3" t="s">
        <v>403</v>
      </c>
      <c r="F108" s="3" t="n">
        <v>248</v>
      </c>
      <c r="G108" s="3" t="n">
        <v>116</v>
      </c>
      <c r="H108" s="3" t="n">
        <v>107</v>
      </c>
      <c r="I108" s="3" t="n">
        <v>133.92</v>
      </c>
      <c r="J108" s="3" t="n">
        <v>49.56</v>
      </c>
      <c r="K108" s="3" t="n">
        <v>5</v>
      </c>
      <c r="L108" s="3" t="s">
        <v>408</v>
      </c>
      <c r="M108" s="3" t="n">
        <v>0</v>
      </c>
      <c r="N108" s="3" t="n">
        <v>50.46</v>
      </c>
      <c r="O108" s="3" t="s">
        <v>400</v>
      </c>
    </row>
    <row r="109" customFormat="false" ht="15" hidden="false" customHeight="false" outlineLevel="0" collapsed="false">
      <c r="A109" s="3" t="s">
        <v>409</v>
      </c>
      <c r="B109" s="3" t="s">
        <v>85</v>
      </c>
      <c r="C109" s="3" t="s">
        <v>94</v>
      </c>
      <c r="D109" s="3" t="s">
        <v>402</v>
      </c>
      <c r="E109" s="3" t="s">
        <v>403</v>
      </c>
      <c r="F109" s="3" t="n">
        <v>238</v>
      </c>
      <c r="G109" s="3" t="n">
        <v>200</v>
      </c>
      <c r="H109" s="3" t="n">
        <v>40</v>
      </c>
      <c r="I109" s="3" t="n">
        <v>204.3</v>
      </c>
      <c r="J109" s="3" t="n">
        <v>23.76</v>
      </c>
      <c r="K109" s="3" t="n">
        <v>15</v>
      </c>
      <c r="L109" s="3" t="s">
        <v>398</v>
      </c>
      <c r="M109" s="3" t="n">
        <v>1</v>
      </c>
      <c r="N109" s="3" t="n">
        <v>19.19</v>
      </c>
      <c r="O109" s="3" t="s">
        <v>400</v>
      </c>
    </row>
    <row r="110" customFormat="false" ht="15" hidden="false" customHeight="false" outlineLevel="0" collapsed="false">
      <c r="A110" s="3" t="s">
        <v>409</v>
      </c>
      <c r="B110" s="3" t="s">
        <v>85</v>
      </c>
      <c r="C110" s="3" t="s">
        <v>96</v>
      </c>
      <c r="D110" s="3" t="s">
        <v>405</v>
      </c>
      <c r="E110" s="3" t="s">
        <v>403</v>
      </c>
      <c r="F110" s="3" t="n">
        <v>471</v>
      </c>
      <c r="G110" s="3" t="n">
        <v>58</v>
      </c>
      <c r="H110" s="3" t="n">
        <v>32</v>
      </c>
      <c r="I110" s="3" t="n">
        <v>51.57</v>
      </c>
      <c r="J110" s="3" t="n">
        <v>47.56</v>
      </c>
      <c r="K110" s="3" t="n">
        <v>0</v>
      </c>
      <c r="L110" s="3" t="s">
        <v>408</v>
      </c>
      <c r="M110" s="3" t="n">
        <v>1</v>
      </c>
      <c r="N110" s="3" t="n">
        <v>46.82</v>
      </c>
      <c r="O110" s="3" t="s">
        <v>400</v>
      </c>
    </row>
    <row r="111" customFormat="false" ht="15" hidden="false" customHeight="false" outlineLevel="0" collapsed="false">
      <c r="A111" s="3" t="s">
        <v>409</v>
      </c>
      <c r="B111" s="3" t="s">
        <v>85</v>
      </c>
      <c r="C111" s="3" t="s">
        <v>98</v>
      </c>
      <c r="D111" s="3" t="s">
        <v>402</v>
      </c>
      <c r="E111" s="3" t="s">
        <v>393</v>
      </c>
      <c r="F111" s="3" t="n">
        <v>178</v>
      </c>
      <c r="G111" s="3" t="n">
        <v>56</v>
      </c>
      <c r="H111" s="3" t="n">
        <v>149</v>
      </c>
      <c r="I111" s="3" t="n">
        <v>60.3</v>
      </c>
      <c r="J111" s="3" t="n">
        <v>17.1</v>
      </c>
      <c r="K111" s="3" t="n">
        <v>5</v>
      </c>
      <c r="L111" s="3" t="s">
        <v>408</v>
      </c>
      <c r="M111" s="3" t="n">
        <v>1</v>
      </c>
      <c r="N111" s="3" t="n">
        <v>17</v>
      </c>
      <c r="O111" s="3" t="s">
        <v>395</v>
      </c>
    </row>
    <row r="112" customFormat="false" ht="15" hidden="false" customHeight="false" outlineLevel="0" collapsed="false">
      <c r="A112" s="3" t="s">
        <v>409</v>
      </c>
      <c r="B112" s="3" t="s">
        <v>85</v>
      </c>
      <c r="C112" s="3" t="s">
        <v>100</v>
      </c>
      <c r="D112" s="3" t="s">
        <v>406</v>
      </c>
      <c r="E112" s="3" t="s">
        <v>403</v>
      </c>
      <c r="F112" s="3" t="n">
        <v>92</v>
      </c>
      <c r="G112" s="3" t="n">
        <v>74</v>
      </c>
      <c r="H112" s="3" t="n">
        <v>121</v>
      </c>
      <c r="I112" s="3" t="n">
        <v>67.04</v>
      </c>
      <c r="J112" s="3" t="n">
        <v>58.89</v>
      </c>
      <c r="K112" s="3" t="n">
        <v>5</v>
      </c>
      <c r="L112" s="3" t="s">
        <v>401</v>
      </c>
      <c r="M112" s="3" t="n">
        <v>0</v>
      </c>
      <c r="N112" s="3" t="n">
        <v>61.56</v>
      </c>
      <c r="O112" s="3" t="s">
        <v>395</v>
      </c>
    </row>
    <row r="113" customFormat="false" ht="15" hidden="false" customHeight="false" outlineLevel="0" collapsed="false">
      <c r="A113" s="3" t="s">
        <v>409</v>
      </c>
      <c r="B113" s="3" t="s">
        <v>85</v>
      </c>
      <c r="C113" s="3" t="s">
        <v>102</v>
      </c>
      <c r="D113" s="3" t="s">
        <v>396</v>
      </c>
      <c r="E113" s="3" t="s">
        <v>397</v>
      </c>
      <c r="F113" s="3" t="n">
        <v>99</v>
      </c>
      <c r="G113" s="3" t="n">
        <v>54</v>
      </c>
      <c r="H113" s="3" t="n">
        <v>182</v>
      </c>
      <c r="I113" s="3" t="n">
        <v>70.6</v>
      </c>
      <c r="J113" s="3" t="n">
        <v>99.76</v>
      </c>
      <c r="K113" s="3" t="n">
        <v>20</v>
      </c>
      <c r="L113" s="3" t="s">
        <v>401</v>
      </c>
      <c r="M113" s="3" t="n">
        <v>0</v>
      </c>
      <c r="N113" s="3" t="n">
        <v>95.61</v>
      </c>
      <c r="O113" s="3" t="s">
        <v>407</v>
      </c>
    </row>
    <row r="114" customFormat="false" ht="15" hidden="false" customHeight="false" outlineLevel="0" collapsed="false">
      <c r="A114" s="3" t="s">
        <v>409</v>
      </c>
      <c r="B114" s="3" t="s">
        <v>85</v>
      </c>
      <c r="C114" s="3" t="s">
        <v>104</v>
      </c>
      <c r="D114" s="3" t="s">
        <v>406</v>
      </c>
      <c r="E114" s="3" t="s">
        <v>393</v>
      </c>
      <c r="F114" s="3" t="n">
        <v>171</v>
      </c>
      <c r="G114" s="3" t="n">
        <v>39</v>
      </c>
      <c r="H114" s="3" t="n">
        <v>163</v>
      </c>
      <c r="I114" s="3" t="n">
        <v>47.8</v>
      </c>
      <c r="J114" s="3" t="n">
        <v>11.44</v>
      </c>
      <c r="K114" s="3" t="n">
        <v>5</v>
      </c>
      <c r="L114" s="3" t="s">
        <v>398</v>
      </c>
      <c r="M114" s="3" t="n">
        <v>0</v>
      </c>
      <c r="N114" s="3" t="n">
        <v>12.71</v>
      </c>
      <c r="O114" s="3" t="s">
        <v>400</v>
      </c>
    </row>
    <row r="115" customFormat="false" ht="15" hidden="false" customHeight="false" outlineLevel="0" collapsed="false">
      <c r="A115" s="3" t="s">
        <v>409</v>
      </c>
      <c r="B115" s="3" t="s">
        <v>85</v>
      </c>
      <c r="C115" s="3" t="s">
        <v>106</v>
      </c>
      <c r="D115" s="3" t="s">
        <v>405</v>
      </c>
      <c r="E115" s="3" t="s">
        <v>403</v>
      </c>
      <c r="F115" s="3" t="n">
        <v>215</v>
      </c>
      <c r="G115" s="3" t="n">
        <v>12</v>
      </c>
      <c r="H115" s="3" t="n">
        <v>173</v>
      </c>
      <c r="I115" s="3" t="n">
        <v>16.92</v>
      </c>
      <c r="J115" s="3" t="n">
        <v>53.84</v>
      </c>
      <c r="K115" s="3" t="n">
        <v>0</v>
      </c>
      <c r="L115" s="3" t="s">
        <v>401</v>
      </c>
      <c r="M115" s="3" t="n">
        <v>1</v>
      </c>
      <c r="N115" s="3" t="n">
        <v>53.79</v>
      </c>
      <c r="O115" s="3" t="s">
        <v>407</v>
      </c>
    </row>
    <row r="116" customFormat="false" ht="15" hidden="false" customHeight="false" outlineLevel="0" collapsed="false">
      <c r="A116" s="3" t="s">
        <v>409</v>
      </c>
      <c r="B116" s="3" t="s">
        <v>85</v>
      </c>
      <c r="C116" s="3" t="s">
        <v>108</v>
      </c>
      <c r="D116" s="3" t="s">
        <v>405</v>
      </c>
      <c r="E116" s="3" t="s">
        <v>403</v>
      </c>
      <c r="F116" s="3" t="n">
        <v>281</v>
      </c>
      <c r="G116" s="3" t="n">
        <v>56</v>
      </c>
      <c r="H116" s="3" t="n">
        <v>187</v>
      </c>
      <c r="I116" s="3" t="n">
        <v>70.71</v>
      </c>
      <c r="J116" s="3" t="n">
        <v>57.84</v>
      </c>
      <c r="K116" s="3" t="n">
        <v>5</v>
      </c>
      <c r="L116" s="3" t="s">
        <v>408</v>
      </c>
      <c r="M116" s="3" t="n">
        <v>1</v>
      </c>
      <c r="N116" s="3" t="n">
        <v>60.99</v>
      </c>
      <c r="O116" s="3" t="s">
        <v>400</v>
      </c>
    </row>
    <row r="117" customFormat="false" ht="15" hidden="false" customHeight="false" outlineLevel="0" collapsed="false">
      <c r="A117" s="3" t="s">
        <v>409</v>
      </c>
      <c r="B117" s="3" t="s">
        <v>85</v>
      </c>
      <c r="C117" s="3" t="s">
        <v>110</v>
      </c>
      <c r="D117" s="3" t="s">
        <v>396</v>
      </c>
      <c r="E117" s="3" t="s">
        <v>393</v>
      </c>
      <c r="F117" s="3" t="n">
        <v>455</v>
      </c>
      <c r="G117" s="3" t="n">
        <v>31</v>
      </c>
      <c r="H117" s="3" t="n">
        <v>124</v>
      </c>
      <c r="I117" s="3" t="n">
        <v>44.46</v>
      </c>
      <c r="J117" s="3" t="n">
        <v>35.51</v>
      </c>
      <c r="K117" s="3" t="n">
        <v>15</v>
      </c>
      <c r="L117" s="3" t="s">
        <v>401</v>
      </c>
      <c r="M117" s="3" t="n">
        <v>1</v>
      </c>
      <c r="N117" s="3" t="n">
        <v>31.06</v>
      </c>
      <c r="O117" s="3" t="s">
        <v>395</v>
      </c>
    </row>
    <row r="118" customFormat="false" ht="15" hidden="false" customHeight="false" outlineLevel="0" collapsed="false">
      <c r="A118" s="3" t="s">
        <v>409</v>
      </c>
      <c r="B118" s="3" t="s">
        <v>85</v>
      </c>
      <c r="C118" s="3" t="s">
        <v>112</v>
      </c>
      <c r="D118" s="3" t="s">
        <v>402</v>
      </c>
      <c r="E118" s="3" t="s">
        <v>399</v>
      </c>
      <c r="F118" s="3" t="n">
        <v>84</v>
      </c>
      <c r="G118" s="3" t="n">
        <v>25</v>
      </c>
      <c r="H118" s="3" t="n">
        <v>20</v>
      </c>
      <c r="I118" s="3" t="n">
        <v>23.36</v>
      </c>
      <c r="J118" s="3" t="n">
        <v>31.41</v>
      </c>
      <c r="K118" s="3" t="n">
        <v>0</v>
      </c>
      <c r="L118" s="3" t="s">
        <v>401</v>
      </c>
      <c r="M118" s="3" t="n">
        <v>1</v>
      </c>
      <c r="N118" s="3" t="n">
        <v>28.6</v>
      </c>
      <c r="O118" s="3" t="s">
        <v>407</v>
      </c>
    </row>
    <row r="119" customFormat="false" ht="15" hidden="false" customHeight="false" outlineLevel="0" collapsed="false">
      <c r="A119" s="3" t="s">
        <v>409</v>
      </c>
      <c r="B119" s="3" t="s">
        <v>85</v>
      </c>
      <c r="C119" s="3" t="s">
        <v>114</v>
      </c>
      <c r="D119" s="3" t="s">
        <v>402</v>
      </c>
      <c r="E119" s="3" t="s">
        <v>403</v>
      </c>
      <c r="F119" s="3" t="n">
        <v>246</v>
      </c>
      <c r="G119" s="3" t="n">
        <v>198</v>
      </c>
      <c r="H119" s="3" t="n">
        <v>67</v>
      </c>
      <c r="I119" s="3" t="n">
        <v>203.23</v>
      </c>
      <c r="J119" s="3" t="n">
        <v>28.06</v>
      </c>
      <c r="K119" s="3" t="n">
        <v>20</v>
      </c>
      <c r="L119" s="3" t="s">
        <v>401</v>
      </c>
      <c r="M119" s="3" t="n">
        <v>1</v>
      </c>
      <c r="N119" s="3" t="n">
        <v>30.29</v>
      </c>
      <c r="O119" s="3" t="s">
        <v>404</v>
      </c>
    </row>
    <row r="120" customFormat="false" ht="15" hidden="false" customHeight="false" outlineLevel="0" collapsed="false">
      <c r="A120" s="3" t="s">
        <v>409</v>
      </c>
      <c r="B120" s="3" t="s">
        <v>85</v>
      </c>
      <c r="C120" s="3" t="s">
        <v>116</v>
      </c>
      <c r="D120" s="3" t="s">
        <v>402</v>
      </c>
      <c r="E120" s="3" t="s">
        <v>399</v>
      </c>
      <c r="F120" s="3" t="n">
        <v>399</v>
      </c>
      <c r="G120" s="3" t="n">
        <v>77</v>
      </c>
      <c r="H120" s="3" t="n">
        <v>147</v>
      </c>
      <c r="I120" s="3" t="n">
        <v>67.55</v>
      </c>
      <c r="J120" s="3" t="n">
        <v>35.67</v>
      </c>
      <c r="K120" s="3" t="n">
        <v>15</v>
      </c>
      <c r="L120" s="3" t="s">
        <v>408</v>
      </c>
      <c r="M120" s="3" t="n">
        <v>0</v>
      </c>
      <c r="N120" s="3" t="n">
        <v>38.02</v>
      </c>
      <c r="O120" s="3" t="s">
        <v>400</v>
      </c>
    </row>
    <row r="121" customFormat="false" ht="15" hidden="false" customHeight="false" outlineLevel="0" collapsed="false">
      <c r="A121" s="3" t="s">
        <v>409</v>
      </c>
      <c r="B121" s="3" t="s">
        <v>85</v>
      </c>
      <c r="C121" s="3" t="s">
        <v>118</v>
      </c>
      <c r="D121" s="3" t="s">
        <v>405</v>
      </c>
      <c r="E121" s="3" t="s">
        <v>399</v>
      </c>
      <c r="F121" s="3" t="n">
        <v>242</v>
      </c>
      <c r="G121" s="3" t="n">
        <v>165</v>
      </c>
      <c r="H121" s="3" t="n">
        <v>105</v>
      </c>
      <c r="I121" s="3" t="n">
        <v>181.86</v>
      </c>
      <c r="J121" s="3" t="n">
        <v>28.18</v>
      </c>
      <c r="K121" s="3" t="n">
        <v>5</v>
      </c>
      <c r="L121" s="3" t="s">
        <v>401</v>
      </c>
      <c r="M121" s="3" t="n">
        <v>0</v>
      </c>
      <c r="N121" s="3" t="n">
        <v>27.5</v>
      </c>
      <c r="O121" s="3" t="s">
        <v>395</v>
      </c>
    </row>
    <row r="122" customFormat="false" ht="15" hidden="false" customHeight="false" outlineLevel="0" collapsed="false">
      <c r="A122" s="3" t="s">
        <v>409</v>
      </c>
      <c r="B122" s="3" t="s">
        <v>85</v>
      </c>
      <c r="C122" s="3" t="s">
        <v>120</v>
      </c>
      <c r="D122" s="3" t="s">
        <v>396</v>
      </c>
      <c r="E122" s="3" t="s">
        <v>393</v>
      </c>
      <c r="F122" s="3" t="n">
        <v>478</v>
      </c>
      <c r="G122" s="3" t="n">
        <v>42</v>
      </c>
      <c r="H122" s="3" t="n">
        <v>168</v>
      </c>
      <c r="I122" s="3" t="n">
        <v>55.16</v>
      </c>
      <c r="J122" s="3" t="n">
        <v>74.42</v>
      </c>
      <c r="K122" s="3" t="n">
        <v>5</v>
      </c>
      <c r="L122" s="3" t="s">
        <v>408</v>
      </c>
      <c r="M122" s="3" t="n">
        <v>0</v>
      </c>
      <c r="N122" s="3" t="n">
        <v>69.67</v>
      </c>
      <c r="O122" s="3" t="s">
        <v>400</v>
      </c>
    </row>
    <row r="123" customFormat="false" ht="15" hidden="false" customHeight="false" outlineLevel="0" collapsed="false">
      <c r="A123" s="3" t="s">
        <v>409</v>
      </c>
      <c r="B123" s="3" t="s">
        <v>85</v>
      </c>
      <c r="C123" s="3" t="s">
        <v>122</v>
      </c>
      <c r="D123" s="3" t="s">
        <v>405</v>
      </c>
      <c r="E123" s="3" t="s">
        <v>397</v>
      </c>
      <c r="F123" s="3" t="n">
        <v>156</v>
      </c>
      <c r="G123" s="3" t="n">
        <v>8</v>
      </c>
      <c r="H123" s="3" t="n">
        <v>67</v>
      </c>
      <c r="I123" s="3" t="n">
        <v>24.41</v>
      </c>
      <c r="J123" s="3" t="n">
        <v>91.95</v>
      </c>
      <c r="K123" s="3" t="n">
        <v>5</v>
      </c>
      <c r="L123" s="3" t="s">
        <v>401</v>
      </c>
      <c r="M123" s="3" t="n">
        <v>1</v>
      </c>
      <c r="N123" s="3" t="n">
        <v>87.43</v>
      </c>
      <c r="O123" s="3" t="s">
        <v>407</v>
      </c>
    </row>
    <row r="124" customFormat="false" ht="15" hidden="false" customHeight="false" outlineLevel="0" collapsed="false">
      <c r="A124" s="3" t="s">
        <v>409</v>
      </c>
      <c r="B124" s="3" t="s">
        <v>85</v>
      </c>
      <c r="C124" s="3" t="s">
        <v>124</v>
      </c>
      <c r="D124" s="3" t="s">
        <v>402</v>
      </c>
      <c r="E124" s="3" t="s">
        <v>393</v>
      </c>
      <c r="F124" s="3" t="n">
        <v>221</v>
      </c>
      <c r="G124" s="3" t="n">
        <v>174</v>
      </c>
      <c r="H124" s="3" t="n">
        <v>168</v>
      </c>
      <c r="I124" s="3" t="n">
        <v>187.49</v>
      </c>
      <c r="J124" s="3" t="n">
        <v>97.88</v>
      </c>
      <c r="K124" s="3" t="n">
        <v>0</v>
      </c>
      <c r="L124" s="3" t="s">
        <v>408</v>
      </c>
      <c r="M124" s="3" t="n">
        <v>0</v>
      </c>
      <c r="N124" s="3" t="n">
        <v>99.5</v>
      </c>
      <c r="O124" s="3" t="s">
        <v>395</v>
      </c>
    </row>
    <row r="125" customFormat="false" ht="15" hidden="false" customHeight="false" outlineLevel="0" collapsed="false">
      <c r="A125" s="3" t="s">
        <v>409</v>
      </c>
      <c r="B125" s="3" t="s">
        <v>126</v>
      </c>
      <c r="C125" s="3" t="s">
        <v>86</v>
      </c>
      <c r="D125" s="3" t="s">
        <v>402</v>
      </c>
      <c r="E125" s="3" t="s">
        <v>399</v>
      </c>
      <c r="F125" s="3" t="n">
        <v>402</v>
      </c>
      <c r="G125" s="3" t="n">
        <v>343</v>
      </c>
      <c r="H125" s="3" t="n">
        <v>141</v>
      </c>
      <c r="I125" s="3" t="n">
        <v>339.04</v>
      </c>
      <c r="J125" s="3" t="n">
        <v>66.57</v>
      </c>
      <c r="K125" s="3" t="n">
        <v>20</v>
      </c>
      <c r="L125" s="3" t="s">
        <v>394</v>
      </c>
      <c r="M125" s="3" t="n">
        <v>1</v>
      </c>
      <c r="N125" s="3" t="n">
        <v>63.92</v>
      </c>
      <c r="O125" s="3" t="s">
        <v>400</v>
      </c>
    </row>
    <row r="126" customFormat="false" ht="15" hidden="false" customHeight="false" outlineLevel="0" collapsed="false">
      <c r="A126" s="3" t="s">
        <v>409</v>
      </c>
      <c r="B126" s="3" t="s">
        <v>126</v>
      </c>
      <c r="C126" s="3" t="s">
        <v>88</v>
      </c>
      <c r="D126" s="3" t="s">
        <v>405</v>
      </c>
      <c r="E126" s="3" t="s">
        <v>399</v>
      </c>
      <c r="F126" s="3" t="n">
        <v>132</v>
      </c>
      <c r="G126" s="3" t="n">
        <v>71</v>
      </c>
      <c r="H126" s="3" t="n">
        <v>60</v>
      </c>
      <c r="I126" s="3" t="n">
        <v>82.44</v>
      </c>
      <c r="J126" s="3" t="n">
        <v>90.36</v>
      </c>
      <c r="K126" s="3" t="n">
        <v>5</v>
      </c>
      <c r="L126" s="3" t="s">
        <v>394</v>
      </c>
      <c r="M126" s="3" t="n">
        <v>0</v>
      </c>
      <c r="N126" s="3" t="n">
        <v>86.73</v>
      </c>
      <c r="O126" s="3" t="s">
        <v>404</v>
      </c>
    </row>
    <row r="127" customFormat="false" ht="15" hidden="false" customHeight="false" outlineLevel="0" collapsed="false">
      <c r="A127" s="3" t="s">
        <v>409</v>
      </c>
      <c r="B127" s="3" t="s">
        <v>126</v>
      </c>
      <c r="C127" s="3" t="s">
        <v>90</v>
      </c>
      <c r="D127" s="3" t="s">
        <v>392</v>
      </c>
      <c r="E127" s="3" t="s">
        <v>399</v>
      </c>
      <c r="F127" s="3" t="n">
        <v>218</v>
      </c>
      <c r="G127" s="3" t="n">
        <v>157</v>
      </c>
      <c r="H127" s="3" t="n">
        <v>31</v>
      </c>
      <c r="I127" s="3" t="n">
        <v>153.42</v>
      </c>
      <c r="J127" s="3" t="n">
        <v>92.24</v>
      </c>
      <c r="K127" s="3" t="n">
        <v>5</v>
      </c>
      <c r="L127" s="3" t="s">
        <v>408</v>
      </c>
      <c r="M127" s="3" t="n">
        <v>1</v>
      </c>
      <c r="N127" s="3" t="n">
        <v>89.57</v>
      </c>
      <c r="O127" s="3" t="s">
        <v>395</v>
      </c>
    </row>
    <row r="128" customFormat="false" ht="15" hidden="false" customHeight="false" outlineLevel="0" collapsed="false">
      <c r="A128" s="3" t="s">
        <v>409</v>
      </c>
      <c r="B128" s="3" t="s">
        <v>126</v>
      </c>
      <c r="C128" s="3" t="s">
        <v>92</v>
      </c>
      <c r="D128" s="3" t="s">
        <v>392</v>
      </c>
      <c r="E128" s="3" t="s">
        <v>397</v>
      </c>
      <c r="F128" s="3" t="n">
        <v>131</v>
      </c>
      <c r="G128" s="3" t="n">
        <v>88</v>
      </c>
      <c r="H128" s="3" t="n">
        <v>109</v>
      </c>
      <c r="I128" s="3" t="n">
        <v>100.61</v>
      </c>
      <c r="J128" s="3" t="n">
        <v>68.71</v>
      </c>
      <c r="K128" s="3" t="n">
        <v>0</v>
      </c>
      <c r="L128" s="3" t="s">
        <v>408</v>
      </c>
      <c r="M128" s="3" t="n">
        <v>0</v>
      </c>
      <c r="N128" s="3" t="n">
        <v>69.34</v>
      </c>
      <c r="O128" s="3" t="s">
        <v>407</v>
      </c>
    </row>
    <row r="129" customFormat="false" ht="15" hidden="false" customHeight="false" outlineLevel="0" collapsed="false">
      <c r="A129" s="3" t="s">
        <v>409</v>
      </c>
      <c r="B129" s="3" t="s">
        <v>126</v>
      </c>
      <c r="C129" s="3" t="s">
        <v>94</v>
      </c>
      <c r="D129" s="3" t="s">
        <v>392</v>
      </c>
      <c r="E129" s="3" t="s">
        <v>393</v>
      </c>
      <c r="F129" s="3" t="n">
        <v>93</v>
      </c>
      <c r="G129" s="3" t="n">
        <v>64</v>
      </c>
      <c r="H129" s="3" t="n">
        <v>128</v>
      </c>
      <c r="I129" s="3" t="n">
        <v>57.53</v>
      </c>
      <c r="J129" s="3" t="n">
        <v>87.22</v>
      </c>
      <c r="K129" s="3" t="n">
        <v>5</v>
      </c>
      <c r="L129" s="3" t="s">
        <v>401</v>
      </c>
      <c r="M129" s="3" t="n">
        <v>1</v>
      </c>
      <c r="N129" s="3" t="n">
        <v>90.59</v>
      </c>
      <c r="O129" s="3" t="s">
        <v>407</v>
      </c>
    </row>
    <row r="130" customFormat="false" ht="15" hidden="false" customHeight="false" outlineLevel="0" collapsed="false">
      <c r="A130" s="3" t="s">
        <v>409</v>
      </c>
      <c r="B130" s="3" t="s">
        <v>126</v>
      </c>
      <c r="C130" s="3" t="s">
        <v>96</v>
      </c>
      <c r="D130" s="3" t="s">
        <v>392</v>
      </c>
      <c r="E130" s="3" t="s">
        <v>403</v>
      </c>
      <c r="F130" s="3" t="n">
        <v>344</v>
      </c>
      <c r="G130" s="3" t="n">
        <v>273</v>
      </c>
      <c r="H130" s="3" t="n">
        <v>154</v>
      </c>
      <c r="I130" s="3" t="n">
        <v>273.1</v>
      </c>
      <c r="J130" s="3" t="n">
        <v>79.38</v>
      </c>
      <c r="K130" s="3" t="n">
        <v>0</v>
      </c>
      <c r="L130" s="3" t="s">
        <v>394</v>
      </c>
      <c r="M130" s="3" t="n">
        <v>0</v>
      </c>
      <c r="N130" s="3" t="n">
        <v>77.28</v>
      </c>
      <c r="O130" s="3" t="s">
        <v>395</v>
      </c>
    </row>
    <row r="131" customFormat="false" ht="15" hidden="false" customHeight="false" outlineLevel="0" collapsed="false">
      <c r="A131" s="3" t="s">
        <v>409</v>
      </c>
      <c r="B131" s="3" t="s">
        <v>126</v>
      </c>
      <c r="C131" s="3" t="s">
        <v>98</v>
      </c>
      <c r="D131" s="3" t="s">
        <v>392</v>
      </c>
      <c r="E131" s="3" t="s">
        <v>393</v>
      </c>
      <c r="F131" s="3" t="n">
        <v>340</v>
      </c>
      <c r="G131" s="3" t="n">
        <v>247</v>
      </c>
      <c r="H131" s="3" t="n">
        <v>148</v>
      </c>
      <c r="I131" s="3" t="n">
        <v>264.18</v>
      </c>
      <c r="J131" s="3" t="n">
        <v>17.41</v>
      </c>
      <c r="K131" s="3" t="n">
        <v>15</v>
      </c>
      <c r="L131" s="3" t="s">
        <v>408</v>
      </c>
      <c r="M131" s="3" t="n">
        <v>0</v>
      </c>
      <c r="N131" s="3" t="n">
        <v>13.57</v>
      </c>
      <c r="O131" s="3" t="s">
        <v>400</v>
      </c>
    </row>
    <row r="132" customFormat="false" ht="15" hidden="false" customHeight="false" outlineLevel="0" collapsed="false">
      <c r="A132" s="3" t="s">
        <v>409</v>
      </c>
      <c r="B132" s="3" t="s">
        <v>126</v>
      </c>
      <c r="C132" s="3" t="s">
        <v>100</v>
      </c>
      <c r="D132" s="3" t="s">
        <v>402</v>
      </c>
      <c r="E132" s="3" t="s">
        <v>393</v>
      </c>
      <c r="F132" s="3" t="n">
        <v>241</v>
      </c>
      <c r="G132" s="3" t="n">
        <v>42</v>
      </c>
      <c r="H132" s="3" t="n">
        <v>187</v>
      </c>
      <c r="I132" s="3" t="n">
        <v>46.32</v>
      </c>
      <c r="J132" s="3" t="n">
        <v>14.8</v>
      </c>
      <c r="K132" s="3" t="n">
        <v>15</v>
      </c>
      <c r="L132" s="3" t="s">
        <v>398</v>
      </c>
      <c r="M132" s="3" t="n">
        <v>1</v>
      </c>
      <c r="N132" s="3" t="n">
        <v>13.94</v>
      </c>
      <c r="O132" s="3" t="s">
        <v>407</v>
      </c>
    </row>
    <row r="133" customFormat="false" ht="15" hidden="false" customHeight="false" outlineLevel="0" collapsed="false">
      <c r="A133" s="3" t="s">
        <v>409</v>
      </c>
      <c r="B133" s="3" t="s">
        <v>126</v>
      </c>
      <c r="C133" s="3" t="s">
        <v>102</v>
      </c>
      <c r="D133" s="3" t="s">
        <v>402</v>
      </c>
      <c r="E133" s="3" t="s">
        <v>393</v>
      </c>
      <c r="F133" s="3" t="n">
        <v>296</v>
      </c>
      <c r="G133" s="3" t="n">
        <v>197</v>
      </c>
      <c r="H133" s="3" t="n">
        <v>157</v>
      </c>
      <c r="I133" s="3" t="n">
        <v>195.61</v>
      </c>
      <c r="J133" s="3" t="n">
        <v>30.5</v>
      </c>
      <c r="K133" s="3" t="n">
        <v>0</v>
      </c>
      <c r="L133" s="3" t="s">
        <v>398</v>
      </c>
      <c r="M133" s="3" t="n">
        <v>0</v>
      </c>
      <c r="N133" s="3" t="n">
        <v>28.86</v>
      </c>
      <c r="O133" s="3" t="s">
        <v>407</v>
      </c>
    </row>
    <row r="134" customFormat="false" ht="15" hidden="false" customHeight="false" outlineLevel="0" collapsed="false">
      <c r="A134" s="3" t="s">
        <v>409</v>
      </c>
      <c r="B134" s="3" t="s">
        <v>126</v>
      </c>
      <c r="C134" s="3" t="s">
        <v>104</v>
      </c>
      <c r="D134" s="3" t="s">
        <v>392</v>
      </c>
      <c r="E134" s="3" t="s">
        <v>399</v>
      </c>
      <c r="F134" s="3" t="n">
        <v>472</v>
      </c>
      <c r="G134" s="3" t="n">
        <v>374</v>
      </c>
      <c r="H134" s="3" t="n">
        <v>65</v>
      </c>
      <c r="I134" s="3" t="n">
        <v>387.41</v>
      </c>
      <c r="J134" s="3" t="n">
        <v>27.84</v>
      </c>
      <c r="K134" s="3" t="n">
        <v>15</v>
      </c>
      <c r="L134" s="3" t="s">
        <v>401</v>
      </c>
      <c r="M134" s="3" t="n">
        <v>1</v>
      </c>
      <c r="N134" s="3" t="n">
        <v>32</v>
      </c>
      <c r="O134" s="3" t="s">
        <v>407</v>
      </c>
    </row>
    <row r="135" customFormat="false" ht="15" hidden="false" customHeight="false" outlineLevel="0" collapsed="false">
      <c r="A135" s="3" t="s">
        <v>409</v>
      </c>
      <c r="B135" s="3" t="s">
        <v>126</v>
      </c>
      <c r="C135" s="3" t="s">
        <v>106</v>
      </c>
      <c r="D135" s="3" t="s">
        <v>405</v>
      </c>
      <c r="E135" s="3" t="s">
        <v>403</v>
      </c>
      <c r="F135" s="3" t="n">
        <v>308</v>
      </c>
      <c r="G135" s="3" t="n">
        <v>154</v>
      </c>
      <c r="H135" s="3" t="n">
        <v>22</v>
      </c>
      <c r="I135" s="3" t="n">
        <v>169.13</v>
      </c>
      <c r="J135" s="3" t="n">
        <v>88.62</v>
      </c>
      <c r="K135" s="3" t="n">
        <v>0</v>
      </c>
      <c r="L135" s="3" t="s">
        <v>401</v>
      </c>
      <c r="M135" s="3" t="n">
        <v>0</v>
      </c>
      <c r="N135" s="3" t="n">
        <v>86.3</v>
      </c>
      <c r="O135" s="3" t="s">
        <v>404</v>
      </c>
    </row>
    <row r="136" customFormat="false" ht="15" hidden="false" customHeight="false" outlineLevel="0" collapsed="false">
      <c r="A136" s="3" t="s">
        <v>409</v>
      </c>
      <c r="B136" s="3" t="s">
        <v>126</v>
      </c>
      <c r="C136" s="3" t="s">
        <v>108</v>
      </c>
      <c r="D136" s="3" t="s">
        <v>396</v>
      </c>
      <c r="E136" s="3" t="s">
        <v>393</v>
      </c>
      <c r="F136" s="3" t="n">
        <v>434</v>
      </c>
      <c r="G136" s="3" t="n">
        <v>236</v>
      </c>
      <c r="H136" s="3" t="n">
        <v>30</v>
      </c>
      <c r="I136" s="3" t="n">
        <v>239.09</v>
      </c>
      <c r="J136" s="3" t="n">
        <v>82.35</v>
      </c>
      <c r="K136" s="3" t="n">
        <v>20</v>
      </c>
      <c r="L136" s="3" t="s">
        <v>394</v>
      </c>
      <c r="M136" s="3" t="n">
        <v>0</v>
      </c>
      <c r="N136" s="3" t="n">
        <v>83.13</v>
      </c>
      <c r="O136" s="3" t="s">
        <v>395</v>
      </c>
    </row>
    <row r="137" customFormat="false" ht="15" hidden="false" customHeight="false" outlineLevel="0" collapsed="false">
      <c r="A137" s="3" t="s">
        <v>409</v>
      </c>
      <c r="B137" s="3" t="s">
        <v>126</v>
      </c>
      <c r="C137" s="3" t="s">
        <v>110</v>
      </c>
      <c r="D137" s="3" t="s">
        <v>396</v>
      </c>
      <c r="E137" s="3" t="s">
        <v>393</v>
      </c>
      <c r="F137" s="3" t="n">
        <v>287</v>
      </c>
      <c r="G137" s="3" t="n">
        <v>278</v>
      </c>
      <c r="H137" s="3" t="n">
        <v>92</v>
      </c>
      <c r="I137" s="3" t="n">
        <v>279.91</v>
      </c>
      <c r="J137" s="3" t="n">
        <v>92.57</v>
      </c>
      <c r="K137" s="3" t="n">
        <v>10</v>
      </c>
      <c r="L137" s="3" t="s">
        <v>398</v>
      </c>
      <c r="M137" s="3" t="n">
        <v>1</v>
      </c>
      <c r="N137" s="3" t="n">
        <v>97.09</v>
      </c>
      <c r="O137" s="3" t="s">
        <v>400</v>
      </c>
    </row>
    <row r="138" customFormat="false" ht="15" hidden="false" customHeight="false" outlineLevel="0" collapsed="false">
      <c r="A138" s="3" t="s">
        <v>409</v>
      </c>
      <c r="B138" s="3" t="s">
        <v>126</v>
      </c>
      <c r="C138" s="3" t="s">
        <v>112</v>
      </c>
      <c r="D138" s="3" t="s">
        <v>405</v>
      </c>
      <c r="E138" s="3" t="s">
        <v>399</v>
      </c>
      <c r="F138" s="3" t="n">
        <v>190</v>
      </c>
      <c r="G138" s="3" t="n">
        <v>27</v>
      </c>
      <c r="H138" s="3" t="n">
        <v>134</v>
      </c>
      <c r="I138" s="3" t="n">
        <v>31.53</v>
      </c>
      <c r="J138" s="3" t="n">
        <v>94.38</v>
      </c>
      <c r="K138" s="3" t="n">
        <v>5</v>
      </c>
      <c r="L138" s="3" t="s">
        <v>394</v>
      </c>
      <c r="M138" s="3" t="n">
        <v>0</v>
      </c>
      <c r="N138" s="3" t="n">
        <v>89.47</v>
      </c>
      <c r="O138" s="3" t="s">
        <v>395</v>
      </c>
    </row>
    <row r="139" customFormat="false" ht="15" hidden="false" customHeight="false" outlineLevel="0" collapsed="false">
      <c r="A139" s="3" t="s">
        <v>409</v>
      </c>
      <c r="B139" s="3" t="s">
        <v>126</v>
      </c>
      <c r="C139" s="3" t="s">
        <v>114</v>
      </c>
      <c r="D139" s="3" t="s">
        <v>396</v>
      </c>
      <c r="E139" s="3" t="s">
        <v>393</v>
      </c>
      <c r="F139" s="3" t="n">
        <v>353</v>
      </c>
      <c r="G139" s="3" t="n">
        <v>106</v>
      </c>
      <c r="H139" s="3" t="n">
        <v>191</v>
      </c>
      <c r="I139" s="3" t="n">
        <v>110.49</v>
      </c>
      <c r="J139" s="3" t="n">
        <v>70.59</v>
      </c>
      <c r="K139" s="3" t="n">
        <v>0</v>
      </c>
      <c r="L139" s="3" t="s">
        <v>401</v>
      </c>
      <c r="M139" s="3" t="n">
        <v>1</v>
      </c>
      <c r="N139" s="3" t="n">
        <v>75.27</v>
      </c>
      <c r="O139" s="3" t="s">
        <v>404</v>
      </c>
    </row>
    <row r="140" customFormat="false" ht="15" hidden="false" customHeight="false" outlineLevel="0" collapsed="false">
      <c r="A140" s="3" t="s">
        <v>409</v>
      </c>
      <c r="B140" s="3" t="s">
        <v>126</v>
      </c>
      <c r="C140" s="3" t="s">
        <v>116</v>
      </c>
      <c r="D140" s="3" t="s">
        <v>396</v>
      </c>
      <c r="E140" s="3" t="s">
        <v>399</v>
      </c>
      <c r="F140" s="3" t="n">
        <v>210</v>
      </c>
      <c r="G140" s="3" t="n">
        <v>154</v>
      </c>
      <c r="H140" s="3" t="n">
        <v>70</v>
      </c>
      <c r="I140" s="3" t="n">
        <v>166.83</v>
      </c>
      <c r="J140" s="3" t="n">
        <v>63.13</v>
      </c>
      <c r="K140" s="3" t="n">
        <v>10</v>
      </c>
      <c r="L140" s="3" t="s">
        <v>398</v>
      </c>
      <c r="M140" s="3" t="n">
        <v>0</v>
      </c>
      <c r="N140" s="3" t="n">
        <v>67.23</v>
      </c>
      <c r="O140" s="3" t="s">
        <v>395</v>
      </c>
    </row>
    <row r="141" customFormat="false" ht="15" hidden="false" customHeight="false" outlineLevel="0" collapsed="false">
      <c r="A141" s="3" t="s">
        <v>409</v>
      </c>
      <c r="B141" s="3" t="s">
        <v>126</v>
      </c>
      <c r="C141" s="3" t="s">
        <v>118</v>
      </c>
      <c r="D141" s="3" t="s">
        <v>406</v>
      </c>
      <c r="E141" s="3" t="s">
        <v>399</v>
      </c>
      <c r="F141" s="3" t="n">
        <v>193</v>
      </c>
      <c r="G141" s="3" t="n">
        <v>176</v>
      </c>
      <c r="H141" s="3" t="n">
        <v>38</v>
      </c>
      <c r="I141" s="3" t="n">
        <v>174.49</v>
      </c>
      <c r="J141" s="3" t="n">
        <v>46.04</v>
      </c>
      <c r="K141" s="3" t="n">
        <v>5</v>
      </c>
      <c r="L141" s="3" t="s">
        <v>394</v>
      </c>
      <c r="M141" s="3" t="n">
        <v>1</v>
      </c>
      <c r="N141" s="3" t="n">
        <v>41.4</v>
      </c>
      <c r="O141" s="3" t="s">
        <v>395</v>
      </c>
    </row>
    <row r="142" customFormat="false" ht="15" hidden="false" customHeight="false" outlineLevel="0" collapsed="false">
      <c r="A142" s="3" t="s">
        <v>409</v>
      </c>
      <c r="B142" s="3" t="s">
        <v>126</v>
      </c>
      <c r="C142" s="3" t="s">
        <v>120</v>
      </c>
      <c r="D142" s="3" t="s">
        <v>392</v>
      </c>
      <c r="E142" s="3" t="s">
        <v>403</v>
      </c>
      <c r="F142" s="3" t="n">
        <v>124</v>
      </c>
      <c r="G142" s="3" t="n">
        <v>124</v>
      </c>
      <c r="H142" s="3" t="n">
        <v>46</v>
      </c>
      <c r="I142" s="3" t="n">
        <v>116.05</v>
      </c>
      <c r="J142" s="3" t="n">
        <v>21.07</v>
      </c>
      <c r="K142" s="3" t="n">
        <v>10</v>
      </c>
      <c r="L142" s="3" t="s">
        <v>398</v>
      </c>
      <c r="M142" s="3" t="n">
        <v>0</v>
      </c>
      <c r="N142" s="3" t="n">
        <v>21.71</v>
      </c>
      <c r="O142" s="3" t="s">
        <v>395</v>
      </c>
    </row>
    <row r="143" customFormat="false" ht="15" hidden="false" customHeight="false" outlineLevel="0" collapsed="false">
      <c r="A143" s="3" t="s">
        <v>409</v>
      </c>
      <c r="B143" s="3" t="s">
        <v>126</v>
      </c>
      <c r="C143" s="3" t="s">
        <v>122</v>
      </c>
      <c r="D143" s="3" t="s">
        <v>396</v>
      </c>
      <c r="E143" s="3" t="s">
        <v>403</v>
      </c>
      <c r="F143" s="3" t="n">
        <v>492</v>
      </c>
      <c r="G143" s="3" t="n">
        <v>479</v>
      </c>
      <c r="H143" s="3" t="n">
        <v>132</v>
      </c>
      <c r="I143" s="3" t="n">
        <v>469.74</v>
      </c>
      <c r="J143" s="3" t="n">
        <v>79.11</v>
      </c>
      <c r="K143" s="3" t="n">
        <v>0</v>
      </c>
      <c r="L143" s="3" t="s">
        <v>401</v>
      </c>
      <c r="M143" s="3" t="n">
        <v>0</v>
      </c>
      <c r="N143" s="3" t="n">
        <v>80.06</v>
      </c>
      <c r="O143" s="3" t="s">
        <v>404</v>
      </c>
    </row>
    <row r="144" customFormat="false" ht="15" hidden="false" customHeight="false" outlineLevel="0" collapsed="false">
      <c r="A144" s="3" t="s">
        <v>409</v>
      </c>
      <c r="B144" s="3" t="s">
        <v>126</v>
      </c>
      <c r="C144" s="3" t="s">
        <v>124</v>
      </c>
      <c r="D144" s="3" t="s">
        <v>406</v>
      </c>
      <c r="E144" s="3" t="s">
        <v>397</v>
      </c>
      <c r="F144" s="3" t="n">
        <v>222</v>
      </c>
      <c r="G144" s="3" t="n">
        <v>78</v>
      </c>
      <c r="H144" s="3" t="n">
        <v>42</v>
      </c>
      <c r="I144" s="3" t="n">
        <v>76.55</v>
      </c>
      <c r="J144" s="3" t="n">
        <v>64.99</v>
      </c>
      <c r="K144" s="3" t="n">
        <v>0</v>
      </c>
      <c r="L144" s="3" t="s">
        <v>398</v>
      </c>
      <c r="M144" s="3" t="n">
        <v>1</v>
      </c>
      <c r="N144" s="3" t="n">
        <v>65.4</v>
      </c>
      <c r="O144" s="3" t="s">
        <v>400</v>
      </c>
    </row>
    <row r="145" customFormat="false" ht="15" hidden="false" customHeight="false" outlineLevel="0" collapsed="false">
      <c r="A145" s="3" t="s">
        <v>409</v>
      </c>
      <c r="B145" s="3" t="s">
        <v>147</v>
      </c>
      <c r="C145" s="3" t="s">
        <v>86</v>
      </c>
      <c r="D145" s="3" t="s">
        <v>396</v>
      </c>
      <c r="E145" s="3" t="s">
        <v>399</v>
      </c>
      <c r="F145" s="3" t="n">
        <v>277</v>
      </c>
      <c r="G145" s="3" t="n">
        <v>114</v>
      </c>
      <c r="H145" s="3" t="n">
        <v>40</v>
      </c>
      <c r="I145" s="3" t="n">
        <v>132.41</v>
      </c>
      <c r="J145" s="3" t="n">
        <v>73.48</v>
      </c>
      <c r="K145" s="3" t="n">
        <v>10</v>
      </c>
      <c r="L145" s="3" t="s">
        <v>401</v>
      </c>
      <c r="M145" s="3" t="n">
        <v>0</v>
      </c>
      <c r="N145" s="3" t="n">
        <v>72.55</v>
      </c>
      <c r="O145" s="3" t="s">
        <v>395</v>
      </c>
    </row>
    <row r="146" customFormat="false" ht="15" hidden="false" customHeight="false" outlineLevel="0" collapsed="false">
      <c r="A146" s="3" t="s">
        <v>409</v>
      </c>
      <c r="B146" s="3" t="s">
        <v>147</v>
      </c>
      <c r="C146" s="3" t="s">
        <v>88</v>
      </c>
      <c r="D146" s="3" t="s">
        <v>392</v>
      </c>
      <c r="E146" s="3" t="s">
        <v>403</v>
      </c>
      <c r="F146" s="3" t="n">
        <v>175</v>
      </c>
      <c r="G146" s="3" t="n">
        <v>2</v>
      </c>
      <c r="H146" s="3" t="n">
        <v>140</v>
      </c>
      <c r="I146" s="3" t="n">
        <v>-3.4</v>
      </c>
      <c r="J146" s="3" t="n">
        <v>87.5</v>
      </c>
      <c r="K146" s="3" t="n">
        <v>0</v>
      </c>
      <c r="L146" s="3" t="s">
        <v>394</v>
      </c>
      <c r="M146" s="3" t="n">
        <v>0</v>
      </c>
      <c r="N146" s="3" t="n">
        <v>91.2</v>
      </c>
      <c r="O146" s="3" t="s">
        <v>395</v>
      </c>
    </row>
    <row r="147" customFormat="false" ht="15" hidden="false" customHeight="false" outlineLevel="0" collapsed="false">
      <c r="A147" s="3" t="s">
        <v>409</v>
      </c>
      <c r="B147" s="3" t="s">
        <v>147</v>
      </c>
      <c r="C147" s="3" t="s">
        <v>90</v>
      </c>
      <c r="D147" s="3" t="s">
        <v>396</v>
      </c>
      <c r="E147" s="3" t="s">
        <v>403</v>
      </c>
      <c r="F147" s="3" t="n">
        <v>157</v>
      </c>
      <c r="G147" s="3" t="n">
        <v>7</v>
      </c>
      <c r="H147" s="3" t="n">
        <v>187</v>
      </c>
      <c r="I147" s="3" t="n">
        <v>22.8</v>
      </c>
      <c r="J147" s="3" t="n">
        <v>88.68</v>
      </c>
      <c r="K147" s="3" t="n">
        <v>20</v>
      </c>
      <c r="L147" s="3" t="s">
        <v>401</v>
      </c>
      <c r="M147" s="3" t="n">
        <v>1</v>
      </c>
      <c r="N147" s="3" t="n">
        <v>87.38</v>
      </c>
      <c r="O147" s="3" t="s">
        <v>395</v>
      </c>
    </row>
    <row r="148" customFormat="false" ht="15" hidden="false" customHeight="false" outlineLevel="0" collapsed="false">
      <c r="A148" s="3" t="s">
        <v>409</v>
      </c>
      <c r="B148" s="3" t="s">
        <v>147</v>
      </c>
      <c r="C148" s="3" t="s">
        <v>92</v>
      </c>
      <c r="D148" s="3" t="s">
        <v>405</v>
      </c>
      <c r="E148" s="3" t="s">
        <v>399</v>
      </c>
      <c r="F148" s="3" t="n">
        <v>120</v>
      </c>
      <c r="G148" s="3" t="n">
        <v>54</v>
      </c>
      <c r="H148" s="3" t="n">
        <v>154</v>
      </c>
      <c r="I148" s="3" t="n">
        <v>49.64</v>
      </c>
      <c r="J148" s="3" t="n">
        <v>82.36</v>
      </c>
      <c r="K148" s="3" t="n">
        <v>20</v>
      </c>
      <c r="L148" s="3" t="s">
        <v>408</v>
      </c>
      <c r="M148" s="3" t="n">
        <v>0</v>
      </c>
      <c r="N148" s="3" t="n">
        <v>85.85</v>
      </c>
      <c r="O148" s="3" t="s">
        <v>395</v>
      </c>
    </row>
    <row r="149" customFormat="false" ht="15" hidden="false" customHeight="false" outlineLevel="0" collapsed="false">
      <c r="A149" s="3" t="s">
        <v>409</v>
      </c>
      <c r="B149" s="3" t="s">
        <v>147</v>
      </c>
      <c r="C149" s="3" t="s">
        <v>94</v>
      </c>
      <c r="D149" s="3" t="s">
        <v>405</v>
      </c>
      <c r="E149" s="3" t="s">
        <v>403</v>
      </c>
      <c r="F149" s="3" t="n">
        <v>375</v>
      </c>
      <c r="G149" s="3" t="n">
        <v>282</v>
      </c>
      <c r="H149" s="3" t="n">
        <v>61</v>
      </c>
      <c r="I149" s="3" t="n">
        <v>297.42</v>
      </c>
      <c r="J149" s="3" t="n">
        <v>38.56</v>
      </c>
      <c r="K149" s="3" t="n">
        <v>5</v>
      </c>
      <c r="L149" s="3" t="s">
        <v>401</v>
      </c>
      <c r="M149" s="3" t="n">
        <v>0</v>
      </c>
      <c r="N149" s="3" t="n">
        <v>36.57</v>
      </c>
      <c r="O149" s="3" t="s">
        <v>404</v>
      </c>
    </row>
    <row r="150" customFormat="false" ht="15" hidden="false" customHeight="false" outlineLevel="0" collapsed="false">
      <c r="A150" s="3" t="s">
        <v>409</v>
      </c>
      <c r="B150" s="3" t="s">
        <v>147</v>
      </c>
      <c r="C150" s="3" t="s">
        <v>96</v>
      </c>
      <c r="D150" s="3" t="s">
        <v>392</v>
      </c>
      <c r="E150" s="3" t="s">
        <v>403</v>
      </c>
      <c r="F150" s="3" t="n">
        <v>302</v>
      </c>
      <c r="G150" s="3" t="n">
        <v>93</v>
      </c>
      <c r="H150" s="3" t="n">
        <v>33</v>
      </c>
      <c r="I150" s="3" t="n">
        <v>106.58</v>
      </c>
      <c r="J150" s="3" t="n">
        <v>97.74</v>
      </c>
      <c r="K150" s="3" t="n">
        <v>0</v>
      </c>
      <c r="L150" s="3" t="s">
        <v>401</v>
      </c>
      <c r="M150" s="3" t="n">
        <v>0</v>
      </c>
      <c r="N150" s="3" t="n">
        <v>97.69</v>
      </c>
      <c r="O150" s="3" t="s">
        <v>404</v>
      </c>
    </row>
    <row r="151" customFormat="false" ht="15" hidden="false" customHeight="false" outlineLevel="0" collapsed="false">
      <c r="A151" s="3" t="s">
        <v>409</v>
      </c>
      <c r="B151" s="3" t="s">
        <v>147</v>
      </c>
      <c r="C151" s="3" t="s">
        <v>98</v>
      </c>
      <c r="D151" s="3" t="s">
        <v>402</v>
      </c>
      <c r="E151" s="3" t="s">
        <v>399</v>
      </c>
      <c r="F151" s="3" t="n">
        <v>375</v>
      </c>
      <c r="G151" s="3" t="n">
        <v>85</v>
      </c>
      <c r="H151" s="3" t="n">
        <v>40</v>
      </c>
      <c r="I151" s="3" t="n">
        <v>85.31</v>
      </c>
      <c r="J151" s="3" t="n">
        <v>37.68</v>
      </c>
      <c r="K151" s="3" t="n">
        <v>15</v>
      </c>
      <c r="L151" s="3" t="s">
        <v>401</v>
      </c>
      <c r="M151" s="3" t="n">
        <v>0</v>
      </c>
      <c r="N151" s="3" t="n">
        <v>36.72</v>
      </c>
      <c r="O151" s="3" t="s">
        <v>395</v>
      </c>
    </row>
    <row r="152" customFormat="false" ht="15" hidden="false" customHeight="false" outlineLevel="0" collapsed="false">
      <c r="A152" s="3" t="s">
        <v>409</v>
      </c>
      <c r="B152" s="3" t="s">
        <v>147</v>
      </c>
      <c r="C152" s="3" t="s">
        <v>100</v>
      </c>
      <c r="D152" s="3" t="s">
        <v>406</v>
      </c>
      <c r="E152" s="3" t="s">
        <v>397</v>
      </c>
      <c r="F152" s="3" t="n">
        <v>248</v>
      </c>
      <c r="G152" s="3" t="n">
        <v>136</v>
      </c>
      <c r="H152" s="3" t="n">
        <v>50</v>
      </c>
      <c r="I152" s="3" t="n">
        <v>130.52</v>
      </c>
      <c r="J152" s="3" t="n">
        <v>36.03</v>
      </c>
      <c r="K152" s="3" t="n">
        <v>5</v>
      </c>
      <c r="L152" s="3" t="s">
        <v>394</v>
      </c>
      <c r="M152" s="3" t="n">
        <v>0</v>
      </c>
      <c r="N152" s="3" t="n">
        <v>37.49</v>
      </c>
      <c r="O152" s="3" t="s">
        <v>407</v>
      </c>
    </row>
    <row r="153" customFormat="false" ht="15" hidden="false" customHeight="false" outlineLevel="0" collapsed="false">
      <c r="A153" s="3" t="s">
        <v>409</v>
      </c>
      <c r="B153" s="3" t="s">
        <v>147</v>
      </c>
      <c r="C153" s="3" t="s">
        <v>102</v>
      </c>
      <c r="D153" s="3" t="s">
        <v>402</v>
      </c>
      <c r="E153" s="3" t="s">
        <v>399</v>
      </c>
      <c r="F153" s="3" t="n">
        <v>219</v>
      </c>
      <c r="G153" s="3" t="n">
        <v>140</v>
      </c>
      <c r="H153" s="3" t="n">
        <v>196</v>
      </c>
      <c r="I153" s="3" t="n">
        <v>139.46</v>
      </c>
      <c r="J153" s="3" t="n">
        <v>88.97</v>
      </c>
      <c r="K153" s="3" t="n">
        <v>0</v>
      </c>
      <c r="L153" s="3" t="s">
        <v>408</v>
      </c>
      <c r="M153" s="3" t="n">
        <v>1</v>
      </c>
      <c r="N153" s="3" t="n">
        <v>91.53</v>
      </c>
      <c r="O153" s="3" t="s">
        <v>407</v>
      </c>
    </row>
    <row r="154" customFormat="false" ht="15" hidden="false" customHeight="false" outlineLevel="0" collapsed="false">
      <c r="A154" s="3" t="s">
        <v>409</v>
      </c>
      <c r="B154" s="3" t="s">
        <v>147</v>
      </c>
      <c r="C154" s="3" t="s">
        <v>104</v>
      </c>
      <c r="D154" s="3" t="s">
        <v>405</v>
      </c>
      <c r="E154" s="3" t="s">
        <v>399</v>
      </c>
      <c r="F154" s="3" t="n">
        <v>146</v>
      </c>
      <c r="G154" s="3" t="n">
        <v>79</v>
      </c>
      <c r="H154" s="3" t="n">
        <v>155</v>
      </c>
      <c r="I154" s="3" t="n">
        <v>94.23</v>
      </c>
      <c r="J154" s="3" t="n">
        <v>16.48</v>
      </c>
      <c r="K154" s="3" t="n">
        <v>10</v>
      </c>
      <c r="L154" s="3" t="s">
        <v>401</v>
      </c>
      <c r="M154" s="3" t="n">
        <v>1</v>
      </c>
      <c r="N154" s="3" t="n">
        <v>21.42</v>
      </c>
      <c r="O154" s="3" t="s">
        <v>407</v>
      </c>
    </row>
    <row r="155" customFormat="false" ht="15" hidden="false" customHeight="false" outlineLevel="0" collapsed="false">
      <c r="A155" s="3" t="s">
        <v>409</v>
      </c>
      <c r="B155" s="3" t="s">
        <v>147</v>
      </c>
      <c r="C155" s="3" t="s">
        <v>106</v>
      </c>
      <c r="D155" s="3" t="s">
        <v>405</v>
      </c>
      <c r="E155" s="3" t="s">
        <v>397</v>
      </c>
      <c r="F155" s="3" t="n">
        <v>218</v>
      </c>
      <c r="G155" s="3" t="n">
        <v>106</v>
      </c>
      <c r="H155" s="3" t="n">
        <v>111</v>
      </c>
      <c r="I155" s="3" t="n">
        <v>117.65</v>
      </c>
      <c r="J155" s="3" t="n">
        <v>58.37</v>
      </c>
      <c r="K155" s="3" t="n">
        <v>10</v>
      </c>
      <c r="L155" s="3" t="s">
        <v>401</v>
      </c>
      <c r="M155" s="3" t="n">
        <v>1</v>
      </c>
      <c r="N155" s="3" t="n">
        <v>58.1</v>
      </c>
      <c r="O155" s="3" t="s">
        <v>395</v>
      </c>
    </row>
    <row r="156" customFormat="false" ht="15" hidden="false" customHeight="false" outlineLevel="0" collapsed="false">
      <c r="A156" s="3" t="s">
        <v>409</v>
      </c>
      <c r="B156" s="3" t="s">
        <v>147</v>
      </c>
      <c r="C156" s="3" t="s">
        <v>108</v>
      </c>
      <c r="D156" s="3" t="s">
        <v>392</v>
      </c>
      <c r="E156" s="3" t="s">
        <v>399</v>
      </c>
      <c r="F156" s="3" t="n">
        <v>260</v>
      </c>
      <c r="G156" s="3" t="n">
        <v>1</v>
      </c>
      <c r="H156" s="3" t="n">
        <v>142</v>
      </c>
      <c r="I156" s="3" t="n">
        <v>1.99</v>
      </c>
      <c r="J156" s="3" t="n">
        <v>27.86</v>
      </c>
      <c r="K156" s="3" t="n">
        <v>5</v>
      </c>
      <c r="L156" s="3" t="s">
        <v>408</v>
      </c>
      <c r="M156" s="3" t="n">
        <v>1</v>
      </c>
      <c r="N156" s="3" t="n">
        <v>31.78</v>
      </c>
      <c r="O156" s="3" t="s">
        <v>404</v>
      </c>
    </row>
    <row r="157" customFormat="false" ht="15" hidden="false" customHeight="false" outlineLevel="0" collapsed="false">
      <c r="A157" s="3" t="s">
        <v>409</v>
      </c>
      <c r="B157" s="3" t="s">
        <v>147</v>
      </c>
      <c r="C157" s="3" t="s">
        <v>110</v>
      </c>
      <c r="D157" s="3" t="s">
        <v>402</v>
      </c>
      <c r="E157" s="3" t="s">
        <v>399</v>
      </c>
      <c r="F157" s="3" t="n">
        <v>414</v>
      </c>
      <c r="G157" s="3" t="n">
        <v>203</v>
      </c>
      <c r="H157" s="3" t="n">
        <v>53</v>
      </c>
      <c r="I157" s="3" t="n">
        <v>206.35</v>
      </c>
      <c r="J157" s="3" t="n">
        <v>39.14</v>
      </c>
      <c r="K157" s="3" t="n">
        <v>5</v>
      </c>
      <c r="L157" s="3" t="s">
        <v>394</v>
      </c>
      <c r="M157" s="3" t="n">
        <v>1</v>
      </c>
      <c r="N157" s="3" t="n">
        <v>35.3</v>
      </c>
      <c r="O157" s="3" t="s">
        <v>395</v>
      </c>
    </row>
    <row r="158" customFormat="false" ht="15" hidden="false" customHeight="false" outlineLevel="0" collapsed="false">
      <c r="A158" s="3" t="s">
        <v>409</v>
      </c>
      <c r="B158" s="3" t="s">
        <v>147</v>
      </c>
      <c r="C158" s="3" t="s">
        <v>112</v>
      </c>
      <c r="D158" s="3" t="s">
        <v>396</v>
      </c>
      <c r="E158" s="3" t="s">
        <v>393</v>
      </c>
      <c r="F158" s="3" t="n">
        <v>420</v>
      </c>
      <c r="G158" s="3" t="n">
        <v>368</v>
      </c>
      <c r="H158" s="3" t="n">
        <v>71</v>
      </c>
      <c r="I158" s="3" t="n">
        <v>384.47</v>
      </c>
      <c r="J158" s="3" t="n">
        <v>66.51</v>
      </c>
      <c r="K158" s="3" t="n">
        <v>0</v>
      </c>
      <c r="L158" s="3" t="s">
        <v>401</v>
      </c>
      <c r="M158" s="3" t="n">
        <v>0</v>
      </c>
      <c r="N158" s="3" t="n">
        <v>70.84</v>
      </c>
      <c r="O158" s="3" t="s">
        <v>407</v>
      </c>
    </row>
    <row r="159" customFormat="false" ht="15" hidden="false" customHeight="false" outlineLevel="0" collapsed="false">
      <c r="A159" s="3" t="s">
        <v>409</v>
      </c>
      <c r="B159" s="3" t="s">
        <v>147</v>
      </c>
      <c r="C159" s="3" t="s">
        <v>114</v>
      </c>
      <c r="D159" s="3" t="s">
        <v>402</v>
      </c>
      <c r="E159" s="3" t="s">
        <v>403</v>
      </c>
      <c r="F159" s="3" t="n">
        <v>435</v>
      </c>
      <c r="G159" s="3" t="n">
        <v>286</v>
      </c>
      <c r="H159" s="3" t="n">
        <v>159</v>
      </c>
      <c r="I159" s="3" t="n">
        <v>283.25</v>
      </c>
      <c r="J159" s="3" t="n">
        <v>89.65</v>
      </c>
      <c r="K159" s="3" t="n">
        <v>20</v>
      </c>
      <c r="L159" s="3" t="s">
        <v>408</v>
      </c>
      <c r="M159" s="3" t="n">
        <v>0</v>
      </c>
      <c r="N159" s="3" t="n">
        <v>84.99</v>
      </c>
      <c r="O159" s="3" t="s">
        <v>404</v>
      </c>
    </row>
    <row r="160" customFormat="false" ht="15" hidden="false" customHeight="false" outlineLevel="0" collapsed="false">
      <c r="A160" s="3" t="s">
        <v>409</v>
      </c>
      <c r="B160" s="3" t="s">
        <v>147</v>
      </c>
      <c r="C160" s="3" t="s">
        <v>116</v>
      </c>
      <c r="D160" s="3" t="s">
        <v>406</v>
      </c>
      <c r="E160" s="3" t="s">
        <v>397</v>
      </c>
      <c r="F160" s="3" t="n">
        <v>230</v>
      </c>
      <c r="G160" s="3" t="n">
        <v>69</v>
      </c>
      <c r="H160" s="3" t="n">
        <v>173</v>
      </c>
      <c r="I160" s="3" t="n">
        <v>70.77</v>
      </c>
      <c r="J160" s="3" t="n">
        <v>86.7</v>
      </c>
      <c r="K160" s="3" t="n">
        <v>20</v>
      </c>
      <c r="L160" s="3" t="s">
        <v>394</v>
      </c>
      <c r="M160" s="3" t="n">
        <v>0</v>
      </c>
      <c r="N160" s="3" t="n">
        <v>91.05</v>
      </c>
      <c r="O160" s="3" t="s">
        <v>407</v>
      </c>
    </row>
    <row r="161" customFormat="false" ht="15" hidden="false" customHeight="false" outlineLevel="0" collapsed="false">
      <c r="A161" s="3" t="s">
        <v>409</v>
      </c>
      <c r="B161" s="3" t="s">
        <v>147</v>
      </c>
      <c r="C161" s="3" t="s">
        <v>118</v>
      </c>
      <c r="D161" s="3" t="s">
        <v>396</v>
      </c>
      <c r="E161" s="3" t="s">
        <v>397</v>
      </c>
      <c r="F161" s="3" t="n">
        <v>456</v>
      </c>
      <c r="G161" s="3" t="n">
        <v>52</v>
      </c>
      <c r="H161" s="3" t="n">
        <v>78</v>
      </c>
      <c r="I161" s="3" t="n">
        <v>65.67</v>
      </c>
      <c r="J161" s="3" t="n">
        <v>29.69</v>
      </c>
      <c r="K161" s="3" t="n">
        <v>20</v>
      </c>
      <c r="L161" s="3" t="s">
        <v>408</v>
      </c>
      <c r="M161" s="3" t="n">
        <v>0</v>
      </c>
      <c r="N161" s="3" t="n">
        <v>25.27</v>
      </c>
      <c r="O161" s="3" t="s">
        <v>400</v>
      </c>
    </row>
    <row r="162" customFormat="false" ht="15" hidden="false" customHeight="false" outlineLevel="0" collapsed="false">
      <c r="A162" s="3" t="s">
        <v>409</v>
      </c>
      <c r="B162" s="3" t="s">
        <v>147</v>
      </c>
      <c r="C162" s="3" t="s">
        <v>120</v>
      </c>
      <c r="D162" s="3" t="s">
        <v>396</v>
      </c>
      <c r="E162" s="3" t="s">
        <v>403</v>
      </c>
      <c r="F162" s="3" t="n">
        <v>319</v>
      </c>
      <c r="G162" s="3" t="n">
        <v>109</v>
      </c>
      <c r="H162" s="3" t="n">
        <v>83</v>
      </c>
      <c r="I162" s="3" t="n">
        <v>126.67</v>
      </c>
      <c r="J162" s="3" t="n">
        <v>86.93</v>
      </c>
      <c r="K162" s="3" t="n">
        <v>10</v>
      </c>
      <c r="L162" s="3" t="s">
        <v>394</v>
      </c>
      <c r="M162" s="3" t="n">
        <v>1</v>
      </c>
      <c r="N162" s="3" t="n">
        <v>82.59</v>
      </c>
      <c r="O162" s="3" t="s">
        <v>404</v>
      </c>
    </row>
    <row r="163" customFormat="false" ht="15" hidden="false" customHeight="false" outlineLevel="0" collapsed="false">
      <c r="A163" s="3" t="s">
        <v>409</v>
      </c>
      <c r="B163" s="3" t="s">
        <v>147</v>
      </c>
      <c r="C163" s="3" t="s">
        <v>122</v>
      </c>
      <c r="D163" s="3" t="s">
        <v>405</v>
      </c>
      <c r="E163" s="3" t="s">
        <v>393</v>
      </c>
      <c r="F163" s="3" t="n">
        <v>59</v>
      </c>
      <c r="G163" s="3" t="n">
        <v>50</v>
      </c>
      <c r="H163" s="3" t="n">
        <v>135</v>
      </c>
      <c r="I163" s="3" t="n">
        <v>44.37</v>
      </c>
      <c r="J163" s="3" t="n">
        <v>59.33</v>
      </c>
      <c r="K163" s="3" t="n">
        <v>10</v>
      </c>
      <c r="L163" s="3" t="s">
        <v>401</v>
      </c>
      <c r="M163" s="3" t="n">
        <v>0</v>
      </c>
      <c r="N163" s="3" t="n">
        <v>54.98</v>
      </c>
      <c r="O163" s="3" t="s">
        <v>407</v>
      </c>
    </row>
    <row r="164" customFormat="false" ht="15" hidden="false" customHeight="false" outlineLevel="0" collapsed="false">
      <c r="A164" s="3" t="s">
        <v>409</v>
      </c>
      <c r="B164" s="3" t="s">
        <v>147</v>
      </c>
      <c r="C164" s="3" t="s">
        <v>124</v>
      </c>
      <c r="D164" s="3" t="s">
        <v>402</v>
      </c>
      <c r="E164" s="3" t="s">
        <v>403</v>
      </c>
      <c r="F164" s="3" t="n">
        <v>155</v>
      </c>
      <c r="G164" s="3" t="n">
        <v>0</v>
      </c>
      <c r="H164" s="3" t="n">
        <v>92</v>
      </c>
      <c r="I164" s="3" t="n">
        <v>9.42</v>
      </c>
      <c r="J164" s="3" t="n">
        <v>57.07</v>
      </c>
      <c r="K164" s="3" t="n">
        <v>10</v>
      </c>
      <c r="L164" s="3" t="s">
        <v>394</v>
      </c>
      <c r="M164" s="3" t="n">
        <v>1</v>
      </c>
      <c r="N164" s="3" t="n">
        <v>53.34</v>
      </c>
      <c r="O164" s="3" t="s">
        <v>400</v>
      </c>
    </row>
    <row r="165" customFormat="false" ht="15" hidden="false" customHeight="false" outlineLevel="0" collapsed="false">
      <c r="A165" s="3" t="s">
        <v>409</v>
      </c>
      <c r="B165" s="3" t="s">
        <v>168</v>
      </c>
      <c r="C165" s="3" t="s">
        <v>86</v>
      </c>
      <c r="D165" s="3" t="s">
        <v>402</v>
      </c>
      <c r="E165" s="3" t="s">
        <v>393</v>
      </c>
      <c r="F165" s="3" t="n">
        <v>144</v>
      </c>
      <c r="G165" s="3" t="n">
        <v>22</v>
      </c>
      <c r="H165" s="3" t="n">
        <v>45</v>
      </c>
      <c r="I165" s="3" t="n">
        <v>39.12</v>
      </c>
      <c r="J165" s="3" t="n">
        <v>74.16</v>
      </c>
      <c r="K165" s="3" t="n">
        <v>15</v>
      </c>
      <c r="L165" s="3" t="s">
        <v>394</v>
      </c>
      <c r="M165" s="3" t="n">
        <v>0</v>
      </c>
      <c r="N165" s="3" t="n">
        <v>69.74</v>
      </c>
      <c r="O165" s="3" t="s">
        <v>395</v>
      </c>
    </row>
    <row r="166" customFormat="false" ht="15" hidden="false" customHeight="false" outlineLevel="0" collapsed="false">
      <c r="A166" s="3" t="s">
        <v>409</v>
      </c>
      <c r="B166" s="3" t="s">
        <v>168</v>
      </c>
      <c r="C166" s="3" t="s">
        <v>88</v>
      </c>
      <c r="D166" s="3" t="s">
        <v>402</v>
      </c>
      <c r="E166" s="3" t="s">
        <v>403</v>
      </c>
      <c r="F166" s="3" t="n">
        <v>283</v>
      </c>
      <c r="G166" s="3" t="n">
        <v>45</v>
      </c>
      <c r="H166" s="3" t="n">
        <v>156</v>
      </c>
      <c r="I166" s="3" t="n">
        <v>46.65</v>
      </c>
      <c r="J166" s="3" t="n">
        <v>59.38</v>
      </c>
      <c r="K166" s="3" t="n">
        <v>0</v>
      </c>
      <c r="L166" s="3" t="s">
        <v>398</v>
      </c>
      <c r="M166" s="3" t="n">
        <v>1</v>
      </c>
      <c r="N166" s="3" t="n">
        <v>62.4</v>
      </c>
      <c r="O166" s="3" t="s">
        <v>407</v>
      </c>
    </row>
    <row r="167" customFormat="false" ht="15" hidden="false" customHeight="false" outlineLevel="0" collapsed="false">
      <c r="A167" s="3" t="s">
        <v>409</v>
      </c>
      <c r="B167" s="3" t="s">
        <v>168</v>
      </c>
      <c r="C167" s="3" t="s">
        <v>90</v>
      </c>
      <c r="D167" s="3" t="s">
        <v>406</v>
      </c>
      <c r="E167" s="3" t="s">
        <v>403</v>
      </c>
      <c r="F167" s="3" t="n">
        <v>347</v>
      </c>
      <c r="G167" s="3" t="n">
        <v>89</v>
      </c>
      <c r="H167" s="3" t="n">
        <v>122</v>
      </c>
      <c r="I167" s="3" t="n">
        <v>87.77</v>
      </c>
      <c r="J167" s="3" t="n">
        <v>48.18</v>
      </c>
      <c r="K167" s="3" t="n">
        <v>0</v>
      </c>
      <c r="L167" s="3" t="s">
        <v>398</v>
      </c>
      <c r="M167" s="3" t="n">
        <v>1</v>
      </c>
      <c r="N167" s="3" t="n">
        <v>49.64</v>
      </c>
      <c r="O167" s="3" t="s">
        <v>407</v>
      </c>
    </row>
    <row r="168" customFormat="false" ht="15" hidden="false" customHeight="false" outlineLevel="0" collapsed="false">
      <c r="A168" s="3" t="s">
        <v>409</v>
      </c>
      <c r="B168" s="3" t="s">
        <v>168</v>
      </c>
      <c r="C168" s="3" t="s">
        <v>92</v>
      </c>
      <c r="D168" s="3" t="s">
        <v>392</v>
      </c>
      <c r="E168" s="3" t="s">
        <v>403</v>
      </c>
      <c r="F168" s="3" t="n">
        <v>410</v>
      </c>
      <c r="G168" s="3" t="n">
        <v>209</v>
      </c>
      <c r="H168" s="3" t="n">
        <v>128</v>
      </c>
      <c r="I168" s="3" t="n">
        <v>224.66</v>
      </c>
      <c r="J168" s="3" t="n">
        <v>94.75</v>
      </c>
      <c r="K168" s="3" t="n">
        <v>20</v>
      </c>
      <c r="L168" s="3" t="s">
        <v>408</v>
      </c>
      <c r="M168" s="3" t="n">
        <v>0</v>
      </c>
      <c r="N168" s="3" t="n">
        <v>90.1</v>
      </c>
      <c r="O168" s="3" t="s">
        <v>395</v>
      </c>
    </row>
    <row r="169" customFormat="false" ht="15" hidden="false" customHeight="false" outlineLevel="0" collapsed="false">
      <c r="A169" s="3" t="s">
        <v>409</v>
      </c>
      <c r="B169" s="3" t="s">
        <v>168</v>
      </c>
      <c r="C169" s="3" t="s">
        <v>94</v>
      </c>
      <c r="D169" s="3" t="s">
        <v>396</v>
      </c>
      <c r="E169" s="3" t="s">
        <v>399</v>
      </c>
      <c r="F169" s="3" t="n">
        <v>99</v>
      </c>
      <c r="G169" s="3" t="n">
        <v>4</v>
      </c>
      <c r="H169" s="3" t="n">
        <v>76</v>
      </c>
      <c r="I169" s="3" t="n">
        <v>14.91</v>
      </c>
      <c r="J169" s="3" t="n">
        <v>60.89</v>
      </c>
      <c r="K169" s="3" t="n">
        <v>5</v>
      </c>
      <c r="L169" s="3" t="s">
        <v>398</v>
      </c>
      <c r="M169" s="3" t="n">
        <v>0</v>
      </c>
      <c r="N169" s="3" t="n">
        <v>59.42</v>
      </c>
      <c r="O169" s="3" t="s">
        <v>395</v>
      </c>
    </row>
    <row r="170" customFormat="false" ht="15" hidden="false" customHeight="false" outlineLevel="0" collapsed="false">
      <c r="A170" s="3" t="s">
        <v>409</v>
      </c>
      <c r="B170" s="3" t="s">
        <v>168</v>
      </c>
      <c r="C170" s="3" t="s">
        <v>96</v>
      </c>
      <c r="D170" s="3" t="s">
        <v>396</v>
      </c>
      <c r="E170" s="3" t="s">
        <v>403</v>
      </c>
      <c r="F170" s="3" t="n">
        <v>97</v>
      </c>
      <c r="G170" s="3" t="n">
        <v>47</v>
      </c>
      <c r="H170" s="3" t="n">
        <v>138</v>
      </c>
      <c r="I170" s="3" t="n">
        <v>52.02</v>
      </c>
      <c r="J170" s="3" t="n">
        <v>14.71</v>
      </c>
      <c r="K170" s="3" t="n">
        <v>5</v>
      </c>
      <c r="L170" s="3" t="s">
        <v>401</v>
      </c>
      <c r="M170" s="3" t="n">
        <v>0</v>
      </c>
      <c r="N170" s="3" t="n">
        <v>16.85</v>
      </c>
      <c r="O170" s="3" t="s">
        <v>395</v>
      </c>
    </row>
    <row r="171" customFormat="false" ht="15" hidden="false" customHeight="false" outlineLevel="0" collapsed="false">
      <c r="A171" s="3" t="s">
        <v>409</v>
      </c>
      <c r="B171" s="3" t="s">
        <v>168</v>
      </c>
      <c r="C171" s="3" t="s">
        <v>98</v>
      </c>
      <c r="D171" s="3" t="s">
        <v>405</v>
      </c>
      <c r="E171" s="3" t="s">
        <v>399</v>
      </c>
      <c r="F171" s="3" t="n">
        <v>339</v>
      </c>
      <c r="G171" s="3" t="n">
        <v>115</v>
      </c>
      <c r="H171" s="3" t="n">
        <v>95</v>
      </c>
      <c r="I171" s="3" t="n">
        <v>124.22</v>
      </c>
      <c r="J171" s="3" t="n">
        <v>33.09</v>
      </c>
      <c r="K171" s="3" t="n">
        <v>10</v>
      </c>
      <c r="L171" s="3" t="s">
        <v>394</v>
      </c>
      <c r="M171" s="3" t="n">
        <v>0</v>
      </c>
      <c r="N171" s="3" t="n">
        <v>28.55</v>
      </c>
      <c r="O171" s="3" t="s">
        <v>407</v>
      </c>
    </row>
    <row r="172" customFormat="false" ht="15" hidden="false" customHeight="false" outlineLevel="0" collapsed="false">
      <c r="A172" s="3" t="s">
        <v>409</v>
      </c>
      <c r="B172" s="3" t="s">
        <v>168</v>
      </c>
      <c r="C172" s="3" t="s">
        <v>100</v>
      </c>
      <c r="D172" s="3" t="s">
        <v>396</v>
      </c>
      <c r="E172" s="3" t="s">
        <v>397</v>
      </c>
      <c r="F172" s="3" t="n">
        <v>144</v>
      </c>
      <c r="G172" s="3" t="n">
        <v>27</v>
      </c>
      <c r="H172" s="3" t="n">
        <v>119</v>
      </c>
      <c r="I172" s="3" t="n">
        <v>21.73</v>
      </c>
      <c r="J172" s="3" t="n">
        <v>98.75</v>
      </c>
      <c r="K172" s="3" t="n">
        <v>15</v>
      </c>
      <c r="L172" s="3" t="s">
        <v>408</v>
      </c>
      <c r="M172" s="3" t="n">
        <v>0</v>
      </c>
      <c r="N172" s="3" t="n">
        <v>102.7</v>
      </c>
      <c r="O172" s="3" t="s">
        <v>400</v>
      </c>
    </row>
    <row r="173" customFormat="false" ht="15" hidden="false" customHeight="false" outlineLevel="0" collapsed="false">
      <c r="A173" s="3" t="s">
        <v>409</v>
      </c>
      <c r="B173" s="3" t="s">
        <v>168</v>
      </c>
      <c r="C173" s="3" t="s">
        <v>102</v>
      </c>
      <c r="D173" s="3" t="s">
        <v>405</v>
      </c>
      <c r="E173" s="3" t="s">
        <v>397</v>
      </c>
      <c r="F173" s="3" t="n">
        <v>110</v>
      </c>
      <c r="G173" s="3" t="n">
        <v>90</v>
      </c>
      <c r="H173" s="3" t="n">
        <v>28</v>
      </c>
      <c r="I173" s="3" t="n">
        <v>103.6</v>
      </c>
      <c r="J173" s="3" t="n">
        <v>12.4</v>
      </c>
      <c r="K173" s="3" t="n">
        <v>20</v>
      </c>
      <c r="L173" s="3" t="s">
        <v>408</v>
      </c>
      <c r="M173" s="3" t="n">
        <v>0</v>
      </c>
      <c r="N173" s="3" t="n">
        <v>8.56</v>
      </c>
      <c r="O173" s="3" t="s">
        <v>395</v>
      </c>
    </row>
    <row r="174" customFormat="false" ht="15" hidden="false" customHeight="false" outlineLevel="0" collapsed="false">
      <c r="A174" s="3" t="s">
        <v>409</v>
      </c>
      <c r="B174" s="3" t="s">
        <v>168</v>
      </c>
      <c r="C174" s="3" t="s">
        <v>104</v>
      </c>
      <c r="D174" s="3" t="s">
        <v>392</v>
      </c>
      <c r="E174" s="3" t="s">
        <v>397</v>
      </c>
      <c r="F174" s="3" t="n">
        <v>348</v>
      </c>
      <c r="G174" s="3" t="n">
        <v>206</v>
      </c>
      <c r="H174" s="3" t="n">
        <v>67</v>
      </c>
      <c r="I174" s="3" t="n">
        <v>214.99</v>
      </c>
      <c r="J174" s="3" t="n">
        <v>92.01</v>
      </c>
      <c r="K174" s="3" t="n">
        <v>15</v>
      </c>
      <c r="L174" s="3" t="s">
        <v>408</v>
      </c>
      <c r="M174" s="3" t="n">
        <v>1</v>
      </c>
      <c r="N174" s="3" t="n">
        <v>87.81</v>
      </c>
      <c r="O174" s="3" t="s">
        <v>395</v>
      </c>
    </row>
    <row r="175" customFormat="false" ht="15" hidden="false" customHeight="false" outlineLevel="0" collapsed="false">
      <c r="A175" s="3" t="s">
        <v>409</v>
      </c>
      <c r="B175" s="3" t="s">
        <v>168</v>
      </c>
      <c r="C175" s="3" t="s">
        <v>106</v>
      </c>
      <c r="D175" s="3" t="s">
        <v>396</v>
      </c>
      <c r="E175" s="3" t="s">
        <v>403</v>
      </c>
      <c r="F175" s="3" t="n">
        <v>458</v>
      </c>
      <c r="G175" s="3" t="n">
        <v>328</v>
      </c>
      <c r="H175" s="3" t="n">
        <v>144</v>
      </c>
      <c r="I175" s="3" t="n">
        <v>339.54</v>
      </c>
      <c r="J175" s="3" t="n">
        <v>92.12</v>
      </c>
      <c r="K175" s="3" t="n">
        <v>20</v>
      </c>
      <c r="L175" s="3" t="s">
        <v>398</v>
      </c>
      <c r="M175" s="3" t="n">
        <v>1</v>
      </c>
      <c r="N175" s="3" t="n">
        <v>87.37</v>
      </c>
      <c r="O175" s="3" t="s">
        <v>407</v>
      </c>
    </row>
    <row r="176" customFormat="false" ht="15" hidden="false" customHeight="false" outlineLevel="0" collapsed="false">
      <c r="A176" s="3" t="s">
        <v>409</v>
      </c>
      <c r="B176" s="3" t="s">
        <v>168</v>
      </c>
      <c r="C176" s="3" t="s">
        <v>108</v>
      </c>
      <c r="D176" s="3" t="s">
        <v>392</v>
      </c>
      <c r="E176" s="3" t="s">
        <v>397</v>
      </c>
      <c r="F176" s="3" t="n">
        <v>403</v>
      </c>
      <c r="G176" s="3" t="n">
        <v>155</v>
      </c>
      <c r="H176" s="3" t="n">
        <v>24</v>
      </c>
      <c r="I176" s="3" t="n">
        <v>145.99</v>
      </c>
      <c r="J176" s="3" t="n">
        <v>37.39</v>
      </c>
      <c r="K176" s="3" t="n">
        <v>20</v>
      </c>
      <c r="L176" s="3" t="s">
        <v>398</v>
      </c>
      <c r="M176" s="3" t="n">
        <v>0</v>
      </c>
      <c r="N176" s="3" t="n">
        <v>38.71</v>
      </c>
      <c r="O176" s="3" t="s">
        <v>407</v>
      </c>
    </row>
    <row r="177" customFormat="false" ht="15" hidden="false" customHeight="false" outlineLevel="0" collapsed="false">
      <c r="A177" s="3" t="s">
        <v>409</v>
      </c>
      <c r="B177" s="3" t="s">
        <v>168</v>
      </c>
      <c r="C177" s="3" t="s">
        <v>110</v>
      </c>
      <c r="D177" s="3" t="s">
        <v>406</v>
      </c>
      <c r="E177" s="3" t="s">
        <v>399</v>
      </c>
      <c r="F177" s="3" t="n">
        <v>198</v>
      </c>
      <c r="G177" s="3" t="n">
        <v>184</v>
      </c>
      <c r="H177" s="3" t="n">
        <v>161</v>
      </c>
      <c r="I177" s="3" t="n">
        <v>191.55</v>
      </c>
      <c r="J177" s="3" t="n">
        <v>85.35</v>
      </c>
      <c r="K177" s="3" t="n">
        <v>10</v>
      </c>
      <c r="L177" s="3" t="s">
        <v>394</v>
      </c>
      <c r="M177" s="3" t="n">
        <v>1</v>
      </c>
      <c r="N177" s="3" t="n">
        <v>80.79</v>
      </c>
      <c r="O177" s="3" t="s">
        <v>407</v>
      </c>
    </row>
    <row r="178" customFormat="false" ht="15" hidden="false" customHeight="false" outlineLevel="0" collapsed="false">
      <c r="A178" s="3" t="s">
        <v>409</v>
      </c>
      <c r="B178" s="3" t="s">
        <v>168</v>
      </c>
      <c r="C178" s="3" t="s">
        <v>112</v>
      </c>
      <c r="D178" s="3" t="s">
        <v>402</v>
      </c>
      <c r="E178" s="3" t="s">
        <v>403</v>
      </c>
      <c r="F178" s="3" t="n">
        <v>472</v>
      </c>
      <c r="G178" s="3" t="n">
        <v>16</v>
      </c>
      <c r="H178" s="3" t="n">
        <v>166</v>
      </c>
      <c r="I178" s="3" t="n">
        <v>28.75</v>
      </c>
      <c r="J178" s="3" t="n">
        <v>82.64</v>
      </c>
      <c r="K178" s="3" t="n">
        <v>0</v>
      </c>
      <c r="L178" s="3" t="s">
        <v>401</v>
      </c>
      <c r="M178" s="3" t="n">
        <v>0</v>
      </c>
      <c r="N178" s="3" t="n">
        <v>78.35</v>
      </c>
      <c r="O178" s="3" t="s">
        <v>395</v>
      </c>
    </row>
    <row r="179" customFormat="false" ht="15" hidden="false" customHeight="false" outlineLevel="0" collapsed="false">
      <c r="A179" s="3" t="s">
        <v>409</v>
      </c>
      <c r="B179" s="3" t="s">
        <v>168</v>
      </c>
      <c r="C179" s="3" t="s">
        <v>114</v>
      </c>
      <c r="D179" s="3" t="s">
        <v>396</v>
      </c>
      <c r="E179" s="3" t="s">
        <v>393</v>
      </c>
      <c r="F179" s="3" t="n">
        <v>178</v>
      </c>
      <c r="G179" s="3" t="n">
        <v>90</v>
      </c>
      <c r="H179" s="3" t="n">
        <v>79</v>
      </c>
      <c r="I179" s="3" t="n">
        <v>98.56</v>
      </c>
      <c r="J179" s="3" t="n">
        <v>92.19</v>
      </c>
      <c r="K179" s="3" t="n">
        <v>10</v>
      </c>
      <c r="L179" s="3" t="s">
        <v>408</v>
      </c>
      <c r="M179" s="3" t="n">
        <v>1</v>
      </c>
      <c r="N179" s="3" t="n">
        <v>97.07</v>
      </c>
      <c r="O179" s="3" t="s">
        <v>400</v>
      </c>
    </row>
    <row r="180" customFormat="false" ht="15" hidden="false" customHeight="false" outlineLevel="0" collapsed="false">
      <c r="A180" s="3" t="s">
        <v>409</v>
      </c>
      <c r="B180" s="3" t="s">
        <v>168</v>
      </c>
      <c r="C180" s="3" t="s">
        <v>116</v>
      </c>
      <c r="D180" s="3" t="s">
        <v>406</v>
      </c>
      <c r="E180" s="3" t="s">
        <v>399</v>
      </c>
      <c r="F180" s="3" t="n">
        <v>215</v>
      </c>
      <c r="G180" s="3" t="n">
        <v>178</v>
      </c>
      <c r="H180" s="3" t="n">
        <v>111</v>
      </c>
      <c r="I180" s="3" t="n">
        <v>180.76</v>
      </c>
      <c r="J180" s="3" t="n">
        <v>61.41</v>
      </c>
      <c r="K180" s="3" t="n">
        <v>0</v>
      </c>
      <c r="L180" s="3" t="s">
        <v>398</v>
      </c>
      <c r="M180" s="3" t="n">
        <v>0</v>
      </c>
      <c r="N180" s="3" t="n">
        <v>61.32</v>
      </c>
      <c r="O180" s="3" t="s">
        <v>407</v>
      </c>
    </row>
    <row r="181" customFormat="false" ht="15" hidden="false" customHeight="false" outlineLevel="0" collapsed="false">
      <c r="A181" s="3" t="s">
        <v>409</v>
      </c>
      <c r="B181" s="3" t="s">
        <v>168</v>
      </c>
      <c r="C181" s="3" t="s">
        <v>118</v>
      </c>
      <c r="D181" s="3" t="s">
        <v>402</v>
      </c>
      <c r="E181" s="3" t="s">
        <v>397</v>
      </c>
      <c r="F181" s="3" t="n">
        <v>477</v>
      </c>
      <c r="G181" s="3" t="n">
        <v>256</v>
      </c>
      <c r="H181" s="3" t="n">
        <v>150</v>
      </c>
      <c r="I181" s="3" t="n">
        <v>254.89</v>
      </c>
      <c r="J181" s="3" t="n">
        <v>96.47</v>
      </c>
      <c r="K181" s="3" t="n">
        <v>20</v>
      </c>
      <c r="L181" s="3" t="s">
        <v>401</v>
      </c>
      <c r="M181" s="3" t="n">
        <v>0</v>
      </c>
      <c r="N181" s="3" t="n">
        <v>93.35</v>
      </c>
      <c r="O181" s="3" t="s">
        <v>407</v>
      </c>
    </row>
    <row r="182" customFormat="false" ht="15" hidden="false" customHeight="false" outlineLevel="0" collapsed="false">
      <c r="A182" s="3" t="s">
        <v>409</v>
      </c>
      <c r="B182" s="3" t="s">
        <v>168</v>
      </c>
      <c r="C182" s="3" t="s">
        <v>120</v>
      </c>
      <c r="D182" s="3" t="s">
        <v>405</v>
      </c>
      <c r="E182" s="3" t="s">
        <v>397</v>
      </c>
      <c r="F182" s="3" t="n">
        <v>198</v>
      </c>
      <c r="G182" s="3" t="n">
        <v>27</v>
      </c>
      <c r="H182" s="3" t="n">
        <v>62</v>
      </c>
      <c r="I182" s="3" t="n">
        <v>25.51</v>
      </c>
      <c r="J182" s="3" t="n">
        <v>89.33</v>
      </c>
      <c r="K182" s="3" t="n">
        <v>0</v>
      </c>
      <c r="L182" s="3" t="s">
        <v>398</v>
      </c>
      <c r="M182" s="3" t="n">
        <v>0</v>
      </c>
      <c r="N182" s="3" t="n">
        <v>89.63</v>
      </c>
      <c r="O182" s="3" t="s">
        <v>407</v>
      </c>
    </row>
    <row r="183" customFormat="false" ht="15" hidden="false" customHeight="false" outlineLevel="0" collapsed="false">
      <c r="A183" s="3" t="s">
        <v>409</v>
      </c>
      <c r="B183" s="3" t="s">
        <v>168</v>
      </c>
      <c r="C183" s="3" t="s">
        <v>122</v>
      </c>
      <c r="D183" s="3" t="s">
        <v>392</v>
      </c>
      <c r="E183" s="3" t="s">
        <v>393</v>
      </c>
      <c r="F183" s="3" t="n">
        <v>110</v>
      </c>
      <c r="G183" s="3" t="n">
        <v>67</v>
      </c>
      <c r="H183" s="3" t="n">
        <v>83</v>
      </c>
      <c r="I183" s="3" t="n">
        <v>79.41</v>
      </c>
      <c r="J183" s="3" t="n">
        <v>59.49</v>
      </c>
      <c r="K183" s="3" t="n">
        <v>20</v>
      </c>
      <c r="L183" s="3" t="s">
        <v>394</v>
      </c>
      <c r="M183" s="3" t="n">
        <v>1</v>
      </c>
      <c r="N183" s="3" t="n">
        <v>57.55</v>
      </c>
      <c r="O183" s="3" t="s">
        <v>407</v>
      </c>
    </row>
    <row r="184" customFormat="false" ht="15" hidden="false" customHeight="false" outlineLevel="0" collapsed="false">
      <c r="A184" s="3" t="s">
        <v>409</v>
      </c>
      <c r="B184" s="3" t="s">
        <v>168</v>
      </c>
      <c r="C184" s="3" t="s">
        <v>124</v>
      </c>
      <c r="D184" s="3" t="s">
        <v>402</v>
      </c>
      <c r="E184" s="3" t="s">
        <v>393</v>
      </c>
      <c r="F184" s="3" t="n">
        <v>254</v>
      </c>
      <c r="G184" s="3" t="n">
        <v>84</v>
      </c>
      <c r="H184" s="3" t="n">
        <v>112</v>
      </c>
      <c r="I184" s="3" t="n">
        <v>77.15</v>
      </c>
      <c r="J184" s="3" t="n">
        <v>73.05</v>
      </c>
      <c r="K184" s="3" t="n">
        <v>15</v>
      </c>
      <c r="L184" s="3" t="s">
        <v>398</v>
      </c>
      <c r="M184" s="3" t="n">
        <v>1</v>
      </c>
      <c r="N184" s="3" t="n">
        <v>74.55</v>
      </c>
      <c r="O184" s="3" t="s">
        <v>395</v>
      </c>
    </row>
    <row r="185" customFormat="false" ht="15" hidden="false" customHeight="false" outlineLevel="0" collapsed="false">
      <c r="A185" s="3" t="s">
        <v>409</v>
      </c>
      <c r="B185" s="3" t="s">
        <v>189</v>
      </c>
      <c r="C185" s="3" t="s">
        <v>86</v>
      </c>
      <c r="D185" s="3" t="s">
        <v>392</v>
      </c>
      <c r="E185" s="3" t="s">
        <v>403</v>
      </c>
      <c r="F185" s="3" t="n">
        <v>223</v>
      </c>
      <c r="G185" s="3" t="n">
        <v>67</v>
      </c>
      <c r="H185" s="3" t="n">
        <v>53</v>
      </c>
      <c r="I185" s="3" t="n">
        <v>74.8</v>
      </c>
      <c r="J185" s="3" t="n">
        <v>67.49</v>
      </c>
      <c r="K185" s="3" t="n">
        <v>5</v>
      </c>
      <c r="L185" s="3" t="s">
        <v>398</v>
      </c>
      <c r="M185" s="3" t="n">
        <v>0</v>
      </c>
      <c r="N185" s="3" t="n">
        <v>65.24</v>
      </c>
      <c r="O185" s="3" t="s">
        <v>404</v>
      </c>
    </row>
    <row r="186" customFormat="false" ht="15" hidden="false" customHeight="false" outlineLevel="0" collapsed="false">
      <c r="A186" s="3" t="s">
        <v>409</v>
      </c>
      <c r="B186" s="3" t="s">
        <v>189</v>
      </c>
      <c r="C186" s="3" t="s">
        <v>88</v>
      </c>
      <c r="D186" s="3" t="s">
        <v>405</v>
      </c>
      <c r="E186" s="3" t="s">
        <v>399</v>
      </c>
      <c r="F186" s="3" t="n">
        <v>100</v>
      </c>
      <c r="G186" s="3" t="n">
        <v>15</v>
      </c>
      <c r="H186" s="3" t="n">
        <v>114</v>
      </c>
      <c r="I186" s="3" t="n">
        <v>28.97</v>
      </c>
      <c r="J186" s="3" t="n">
        <v>66.05</v>
      </c>
      <c r="K186" s="3" t="n">
        <v>10</v>
      </c>
      <c r="L186" s="3" t="s">
        <v>398</v>
      </c>
      <c r="M186" s="3" t="n">
        <v>1</v>
      </c>
      <c r="N186" s="3" t="n">
        <v>65.16</v>
      </c>
      <c r="O186" s="3" t="s">
        <v>395</v>
      </c>
    </row>
    <row r="187" customFormat="false" ht="15" hidden="false" customHeight="false" outlineLevel="0" collapsed="false">
      <c r="A187" s="3" t="s">
        <v>409</v>
      </c>
      <c r="B187" s="3" t="s">
        <v>189</v>
      </c>
      <c r="C187" s="3" t="s">
        <v>90</v>
      </c>
      <c r="D187" s="3" t="s">
        <v>396</v>
      </c>
      <c r="E187" s="3" t="s">
        <v>399</v>
      </c>
      <c r="F187" s="3" t="n">
        <v>397</v>
      </c>
      <c r="G187" s="3" t="n">
        <v>333</v>
      </c>
      <c r="H187" s="3" t="n">
        <v>35</v>
      </c>
      <c r="I187" s="3" t="n">
        <v>336.02</v>
      </c>
      <c r="J187" s="3" t="n">
        <v>80.88</v>
      </c>
      <c r="K187" s="3" t="n">
        <v>20</v>
      </c>
      <c r="L187" s="3" t="s">
        <v>394</v>
      </c>
      <c r="M187" s="3" t="n">
        <v>1</v>
      </c>
      <c r="N187" s="3" t="n">
        <v>84.97</v>
      </c>
      <c r="O187" s="3" t="s">
        <v>404</v>
      </c>
    </row>
    <row r="188" customFormat="false" ht="15" hidden="false" customHeight="false" outlineLevel="0" collapsed="false">
      <c r="A188" s="3" t="s">
        <v>409</v>
      </c>
      <c r="B188" s="3" t="s">
        <v>189</v>
      </c>
      <c r="C188" s="3" t="s">
        <v>92</v>
      </c>
      <c r="D188" s="3" t="s">
        <v>392</v>
      </c>
      <c r="E188" s="3" t="s">
        <v>393</v>
      </c>
      <c r="F188" s="3" t="n">
        <v>442</v>
      </c>
      <c r="G188" s="3" t="n">
        <v>56</v>
      </c>
      <c r="H188" s="3" t="n">
        <v>38</v>
      </c>
      <c r="I188" s="3" t="n">
        <v>54.08</v>
      </c>
      <c r="J188" s="3" t="n">
        <v>60.5</v>
      </c>
      <c r="K188" s="3" t="n">
        <v>10</v>
      </c>
      <c r="L188" s="3" t="s">
        <v>401</v>
      </c>
      <c r="M188" s="3" t="n">
        <v>1</v>
      </c>
      <c r="N188" s="3" t="n">
        <v>64.88</v>
      </c>
      <c r="O188" s="3" t="s">
        <v>407</v>
      </c>
    </row>
    <row r="189" customFormat="false" ht="15" hidden="false" customHeight="false" outlineLevel="0" collapsed="false">
      <c r="A189" s="3" t="s">
        <v>409</v>
      </c>
      <c r="B189" s="3" t="s">
        <v>189</v>
      </c>
      <c r="C189" s="3" t="s">
        <v>94</v>
      </c>
      <c r="D189" s="3" t="s">
        <v>405</v>
      </c>
      <c r="E189" s="3" t="s">
        <v>399</v>
      </c>
      <c r="F189" s="3" t="n">
        <v>411</v>
      </c>
      <c r="G189" s="3" t="n">
        <v>165</v>
      </c>
      <c r="H189" s="3" t="n">
        <v>194</v>
      </c>
      <c r="I189" s="3" t="n">
        <v>172.41</v>
      </c>
      <c r="J189" s="3" t="n">
        <v>71.72</v>
      </c>
      <c r="K189" s="3" t="n">
        <v>20</v>
      </c>
      <c r="L189" s="3" t="s">
        <v>394</v>
      </c>
      <c r="M189" s="3" t="n">
        <v>0</v>
      </c>
      <c r="N189" s="3" t="n">
        <v>75.17</v>
      </c>
      <c r="O189" s="3" t="s">
        <v>395</v>
      </c>
    </row>
    <row r="190" customFormat="false" ht="15" hidden="false" customHeight="false" outlineLevel="0" collapsed="false">
      <c r="A190" s="3" t="s">
        <v>409</v>
      </c>
      <c r="B190" s="3" t="s">
        <v>189</v>
      </c>
      <c r="C190" s="3" t="s">
        <v>96</v>
      </c>
      <c r="D190" s="3" t="s">
        <v>406</v>
      </c>
      <c r="E190" s="3" t="s">
        <v>393</v>
      </c>
      <c r="F190" s="3" t="n">
        <v>76</v>
      </c>
      <c r="G190" s="3" t="n">
        <v>54</v>
      </c>
      <c r="H190" s="3" t="n">
        <v>175</v>
      </c>
      <c r="I190" s="3" t="n">
        <v>49.32</v>
      </c>
      <c r="J190" s="3" t="n">
        <v>69.21</v>
      </c>
      <c r="K190" s="3" t="n">
        <v>15</v>
      </c>
      <c r="L190" s="3" t="s">
        <v>394</v>
      </c>
      <c r="M190" s="3" t="n">
        <v>1</v>
      </c>
      <c r="N190" s="3" t="n">
        <v>71.17</v>
      </c>
      <c r="O190" s="3" t="s">
        <v>400</v>
      </c>
    </row>
    <row r="191" customFormat="false" ht="15" hidden="false" customHeight="false" outlineLevel="0" collapsed="false">
      <c r="A191" s="3" t="s">
        <v>409</v>
      </c>
      <c r="B191" s="3" t="s">
        <v>189</v>
      </c>
      <c r="C191" s="3" t="s">
        <v>98</v>
      </c>
      <c r="D191" s="3" t="s">
        <v>406</v>
      </c>
      <c r="E191" s="3" t="s">
        <v>403</v>
      </c>
      <c r="F191" s="3" t="n">
        <v>257</v>
      </c>
      <c r="G191" s="3" t="n">
        <v>93</v>
      </c>
      <c r="H191" s="3" t="n">
        <v>148</v>
      </c>
      <c r="I191" s="3" t="n">
        <v>84.69</v>
      </c>
      <c r="J191" s="3" t="n">
        <v>70.69</v>
      </c>
      <c r="K191" s="3" t="n">
        <v>20</v>
      </c>
      <c r="L191" s="3" t="s">
        <v>408</v>
      </c>
      <c r="M191" s="3" t="n">
        <v>0</v>
      </c>
      <c r="N191" s="3" t="n">
        <v>71.37</v>
      </c>
      <c r="O191" s="3" t="s">
        <v>404</v>
      </c>
    </row>
    <row r="192" customFormat="false" ht="15" hidden="false" customHeight="false" outlineLevel="0" collapsed="false">
      <c r="A192" s="3" t="s">
        <v>409</v>
      </c>
      <c r="B192" s="3" t="s">
        <v>189</v>
      </c>
      <c r="C192" s="3" t="s">
        <v>100</v>
      </c>
      <c r="D192" s="3" t="s">
        <v>405</v>
      </c>
      <c r="E192" s="3" t="s">
        <v>403</v>
      </c>
      <c r="F192" s="3" t="n">
        <v>353</v>
      </c>
      <c r="G192" s="3" t="n">
        <v>250</v>
      </c>
      <c r="H192" s="3" t="n">
        <v>57</v>
      </c>
      <c r="I192" s="3" t="n">
        <v>254.75</v>
      </c>
      <c r="J192" s="3" t="n">
        <v>63.54</v>
      </c>
      <c r="K192" s="3" t="n">
        <v>15</v>
      </c>
      <c r="L192" s="3" t="s">
        <v>401</v>
      </c>
      <c r="M192" s="3" t="n">
        <v>0</v>
      </c>
      <c r="N192" s="3" t="n">
        <v>61.05</v>
      </c>
      <c r="O192" s="3" t="s">
        <v>400</v>
      </c>
    </row>
    <row r="193" customFormat="false" ht="15" hidden="false" customHeight="false" outlineLevel="0" collapsed="false">
      <c r="A193" s="3" t="s">
        <v>409</v>
      </c>
      <c r="B193" s="3" t="s">
        <v>189</v>
      </c>
      <c r="C193" s="3" t="s">
        <v>102</v>
      </c>
      <c r="D193" s="3" t="s">
        <v>402</v>
      </c>
      <c r="E193" s="3" t="s">
        <v>399</v>
      </c>
      <c r="F193" s="3" t="n">
        <v>119</v>
      </c>
      <c r="G193" s="3" t="n">
        <v>90</v>
      </c>
      <c r="H193" s="3" t="n">
        <v>76</v>
      </c>
      <c r="I193" s="3" t="n">
        <v>99.63</v>
      </c>
      <c r="J193" s="3" t="n">
        <v>78.08</v>
      </c>
      <c r="K193" s="3" t="n">
        <v>10</v>
      </c>
      <c r="L193" s="3" t="s">
        <v>398</v>
      </c>
      <c r="M193" s="3" t="n">
        <v>0</v>
      </c>
      <c r="N193" s="3" t="n">
        <v>73.69</v>
      </c>
      <c r="O193" s="3" t="s">
        <v>404</v>
      </c>
    </row>
    <row r="194" customFormat="false" ht="15" hidden="false" customHeight="false" outlineLevel="0" collapsed="false">
      <c r="A194" s="3" t="s">
        <v>409</v>
      </c>
      <c r="B194" s="3" t="s">
        <v>189</v>
      </c>
      <c r="C194" s="3" t="s">
        <v>104</v>
      </c>
      <c r="D194" s="3" t="s">
        <v>405</v>
      </c>
      <c r="E194" s="3" t="s">
        <v>399</v>
      </c>
      <c r="F194" s="3" t="n">
        <v>403</v>
      </c>
      <c r="G194" s="3" t="n">
        <v>83</v>
      </c>
      <c r="H194" s="3" t="n">
        <v>77</v>
      </c>
      <c r="I194" s="3" t="n">
        <v>84.32</v>
      </c>
      <c r="J194" s="3" t="n">
        <v>43.09</v>
      </c>
      <c r="K194" s="3" t="n">
        <v>10</v>
      </c>
      <c r="L194" s="3" t="s">
        <v>398</v>
      </c>
      <c r="M194" s="3" t="n">
        <v>1</v>
      </c>
      <c r="N194" s="3" t="n">
        <v>47.02</v>
      </c>
      <c r="O194" s="3" t="s">
        <v>407</v>
      </c>
    </row>
    <row r="195" customFormat="false" ht="15" hidden="false" customHeight="false" outlineLevel="0" collapsed="false">
      <c r="A195" s="3" t="s">
        <v>409</v>
      </c>
      <c r="B195" s="3" t="s">
        <v>189</v>
      </c>
      <c r="C195" s="3" t="s">
        <v>106</v>
      </c>
      <c r="D195" s="3" t="s">
        <v>402</v>
      </c>
      <c r="E195" s="3" t="s">
        <v>403</v>
      </c>
      <c r="F195" s="3" t="n">
        <v>60</v>
      </c>
      <c r="G195" s="3" t="n">
        <v>16</v>
      </c>
      <c r="H195" s="3" t="n">
        <v>149</v>
      </c>
      <c r="I195" s="3" t="n">
        <v>23.98</v>
      </c>
      <c r="J195" s="3" t="n">
        <v>25.67</v>
      </c>
      <c r="K195" s="3" t="n">
        <v>5</v>
      </c>
      <c r="L195" s="3" t="s">
        <v>398</v>
      </c>
      <c r="M195" s="3" t="n">
        <v>1</v>
      </c>
      <c r="N195" s="3" t="n">
        <v>27.78</v>
      </c>
      <c r="O195" s="3" t="s">
        <v>404</v>
      </c>
    </row>
    <row r="196" customFormat="false" ht="15" hidden="false" customHeight="false" outlineLevel="0" collapsed="false">
      <c r="A196" s="3" t="s">
        <v>409</v>
      </c>
      <c r="B196" s="3" t="s">
        <v>189</v>
      </c>
      <c r="C196" s="3" t="s">
        <v>108</v>
      </c>
      <c r="D196" s="3" t="s">
        <v>396</v>
      </c>
      <c r="E196" s="3" t="s">
        <v>399</v>
      </c>
      <c r="F196" s="3" t="n">
        <v>182</v>
      </c>
      <c r="G196" s="3" t="n">
        <v>87</v>
      </c>
      <c r="H196" s="3" t="n">
        <v>121</v>
      </c>
      <c r="I196" s="3" t="n">
        <v>83.13</v>
      </c>
      <c r="J196" s="3" t="n">
        <v>38.59</v>
      </c>
      <c r="K196" s="3" t="n">
        <v>20</v>
      </c>
      <c r="L196" s="3" t="s">
        <v>394</v>
      </c>
      <c r="M196" s="3" t="n">
        <v>0</v>
      </c>
      <c r="N196" s="3" t="n">
        <v>33.87</v>
      </c>
      <c r="O196" s="3" t="s">
        <v>407</v>
      </c>
    </row>
    <row r="197" customFormat="false" ht="15" hidden="false" customHeight="false" outlineLevel="0" collapsed="false">
      <c r="A197" s="3" t="s">
        <v>409</v>
      </c>
      <c r="B197" s="3" t="s">
        <v>189</v>
      </c>
      <c r="C197" s="3" t="s">
        <v>110</v>
      </c>
      <c r="D197" s="3" t="s">
        <v>405</v>
      </c>
      <c r="E197" s="3" t="s">
        <v>403</v>
      </c>
      <c r="F197" s="3" t="n">
        <v>455</v>
      </c>
      <c r="G197" s="3" t="n">
        <v>241</v>
      </c>
      <c r="H197" s="3" t="n">
        <v>136</v>
      </c>
      <c r="I197" s="3" t="n">
        <v>235.03</v>
      </c>
      <c r="J197" s="3" t="n">
        <v>57.99</v>
      </c>
      <c r="K197" s="3" t="n">
        <v>5</v>
      </c>
      <c r="L197" s="3" t="s">
        <v>398</v>
      </c>
      <c r="M197" s="3" t="n">
        <v>0</v>
      </c>
      <c r="N197" s="3" t="n">
        <v>55.4</v>
      </c>
      <c r="O197" s="3" t="s">
        <v>407</v>
      </c>
    </row>
    <row r="198" customFormat="false" ht="15" hidden="false" customHeight="false" outlineLevel="0" collapsed="false">
      <c r="A198" s="3" t="s">
        <v>409</v>
      </c>
      <c r="B198" s="3" t="s">
        <v>189</v>
      </c>
      <c r="C198" s="3" t="s">
        <v>112</v>
      </c>
      <c r="D198" s="3" t="s">
        <v>396</v>
      </c>
      <c r="E198" s="3" t="s">
        <v>397</v>
      </c>
      <c r="F198" s="3" t="n">
        <v>437</v>
      </c>
      <c r="G198" s="3" t="n">
        <v>286</v>
      </c>
      <c r="H198" s="3" t="n">
        <v>116</v>
      </c>
      <c r="I198" s="3" t="n">
        <v>282.52</v>
      </c>
      <c r="J198" s="3" t="n">
        <v>14.65</v>
      </c>
      <c r="K198" s="3" t="n">
        <v>20</v>
      </c>
      <c r="L198" s="3" t="s">
        <v>408</v>
      </c>
      <c r="M198" s="3" t="n">
        <v>1</v>
      </c>
      <c r="N198" s="3" t="n">
        <v>13.12</v>
      </c>
      <c r="O198" s="3" t="s">
        <v>404</v>
      </c>
    </row>
    <row r="199" customFormat="false" ht="15" hidden="false" customHeight="false" outlineLevel="0" collapsed="false">
      <c r="A199" s="3" t="s">
        <v>409</v>
      </c>
      <c r="B199" s="3" t="s">
        <v>189</v>
      </c>
      <c r="C199" s="3" t="s">
        <v>114</v>
      </c>
      <c r="D199" s="3" t="s">
        <v>406</v>
      </c>
      <c r="E199" s="3" t="s">
        <v>399</v>
      </c>
      <c r="F199" s="3" t="n">
        <v>289</v>
      </c>
      <c r="G199" s="3" t="n">
        <v>60</v>
      </c>
      <c r="H199" s="3" t="n">
        <v>83</v>
      </c>
      <c r="I199" s="3" t="n">
        <v>52.77</v>
      </c>
      <c r="J199" s="3" t="n">
        <v>63.26</v>
      </c>
      <c r="K199" s="3" t="n">
        <v>0</v>
      </c>
      <c r="L199" s="3" t="s">
        <v>394</v>
      </c>
      <c r="M199" s="3" t="n">
        <v>1</v>
      </c>
      <c r="N199" s="3" t="n">
        <v>61.02</v>
      </c>
      <c r="O199" s="3" t="s">
        <v>395</v>
      </c>
    </row>
    <row r="200" customFormat="false" ht="15" hidden="false" customHeight="false" outlineLevel="0" collapsed="false">
      <c r="A200" s="3" t="s">
        <v>409</v>
      </c>
      <c r="B200" s="3" t="s">
        <v>189</v>
      </c>
      <c r="C200" s="3" t="s">
        <v>116</v>
      </c>
      <c r="D200" s="3" t="s">
        <v>392</v>
      </c>
      <c r="E200" s="3" t="s">
        <v>403</v>
      </c>
      <c r="F200" s="3" t="n">
        <v>487</v>
      </c>
      <c r="G200" s="3" t="n">
        <v>437</v>
      </c>
      <c r="H200" s="3" t="n">
        <v>106</v>
      </c>
      <c r="I200" s="3" t="n">
        <v>432.86</v>
      </c>
      <c r="J200" s="3" t="n">
        <v>43.64</v>
      </c>
      <c r="K200" s="3" t="n">
        <v>15</v>
      </c>
      <c r="L200" s="3" t="s">
        <v>401</v>
      </c>
      <c r="M200" s="3" t="n">
        <v>1</v>
      </c>
      <c r="N200" s="3" t="n">
        <v>39.13</v>
      </c>
      <c r="O200" s="3" t="s">
        <v>395</v>
      </c>
    </row>
    <row r="201" customFormat="false" ht="15" hidden="false" customHeight="false" outlineLevel="0" collapsed="false">
      <c r="A201" s="3" t="s">
        <v>409</v>
      </c>
      <c r="B201" s="3" t="s">
        <v>189</v>
      </c>
      <c r="C201" s="3" t="s">
        <v>118</v>
      </c>
      <c r="D201" s="3" t="s">
        <v>396</v>
      </c>
      <c r="E201" s="3" t="s">
        <v>393</v>
      </c>
      <c r="F201" s="3" t="n">
        <v>418</v>
      </c>
      <c r="G201" s="3" t="n">
        <v>377</v>
      </c>
      <c r="H201" s="3" t="n">
        <v>76</v>
      </c>
      <c r="I201" s="3" t="n">
        <v>383.26</v>
      </c>
      <c r="J201" s="3" t="n">
        <v>84.85</v>
      </c>
      <c r="K201" s="3" t="n">
        <v>20</v>
      </c>
      <c r="L201" s="3" t="s">
        <v>398</v>
      </c>
      <c r="M201" s="3" t="n">
        <v>1</v>
      </c>
      <c r="N201" s="3" t="n">
        <v>84.29</v>
      </c>
      <c r="O201" s="3" t="s">
        <v>400</v>
      </c>
    </row>
    <row r="202" customFormat="false" ht="15" hidden="false" customHeight="false" outlineLevel="0" collapsed="false">
      <c r="A202" s="3" t="s">
        <v>409</v>
      </c>
      <c r="B202" s="3" t="s">
        <v>189</v>
      </c>
      <c r="C202" s="3" t="s">
        <v>120</v>
      </c>
      <c r="D202" s="3" t="s">
        <v>406</v>
      </c>
      <c r="E202" s="3" t="s">
        <v>399</v>
      </c>
      <c r="F202" s="3" t="n">
        <v>89</v>
      </c>
      <c r="G202" s="3" t="n">
        <v>83</v>
      </c>
      <c r="H202" s="3" t="n">
        <v>113</v>
      </c>
      <c r="I202" s="3" t="n">
        <v>78.67</v>
      </c>
      <c r="J202" s="3" t="n">
        <v>47.05</v>
      </c>
      <c r="K202" s="3" t="n">
        <v>15</v>
      </c>
      <c r="L202" s="3" t="s">
        <v>394</v>
      </c>
      <c r="M202" s="3" t="n">
        <v>1</v>
      </c>
      <c r="N202" s="3" t="n">
        <v>47.89</v>
      </c>
      <c r="O202" s="3" t="s">
        <v>407</v>
      </c>
    </row>
    <row r="203" customFormat="false" ht="15" hidden="false" customHeight="false" outlineLevel="0" collapsed="false">
      <c r="A203" s="3" t="s">
        <v>409</v>
      </c>
      <c r="B203" s="3" t="s">
        <v>189</v>
      </c>
      <c r="C203" s="3" t="s">
        <v>122</v>
      </c>
      <c r="D203" s="3" t="s">
        <v>406</v>
      </c>
      <c r="E203" s="3" t="s">
        <v>399</v>
      </c>
      <c r="F203" s="3" t="n">
        <v>421</v>
      </c>
      <c r="G203" s="3" t="n">
        <v>203</v>
      </c>
      <c r="H203" s="3" t="n">
        <v>152</v>
      </c>
      <c r="I203" s="3" t="n">
        <v>220.23</v>
      </c>
      <c r="J203" s="3" t="n">
        <v>76.83</v>
      </c>
      <c r="K203" s="3" t="n">
        <v>20</v>
      </c>
      <c r="L203" s="3" t="s">
        <v>408</v>
      </c>
      <c r="M203" s="3" t="n">
        <v>0</v>
      </c>
      <c r="N203" s="3" t="n">
        <v>75.86</v>
      </c>
      <c r="O203" s="3" t="s">
        <v>407</v>
      </c>
    </row>
    <row r="204" customFormat="false" ht="15" hidden="false" customHeight="false" outlineLevel="0" collapsed="false">
      <c r="A204" s="3" t="s">
        <v>409</v>
      </c>
      <c r="B204" s="3" t="s">
        <v>189</v>
      </c>
      <c r="C204" s="3" t="s">
        <v>124</v>
      </c>
      <c r="D204" s="3" t="s">
        <v>406</v>
      </c>
      <c r="E204" s="3" t="s">
        <v>397</v>
      </c>
      <c r="F204" s="3" t="n">
        <v>211</v>
      </c>
      <c r="G204" s="3" t="n">
        <v>183</v>
      </c>
      <c r="H204" s="3" t="n">
        <v>189</v>
      </c>
      <c r="I204" s="3" t="n">
        <v>190.11</v>
      </c>
      <c r="J204" s="3" t="n">
        <v>93.95</v>
      </c>
      <c r="K204" s="3" t="n">
        <v>10</v>
      </c>
      <c r="L204" s="3" t="s">
        <v>398</v>
      </c>
      <c r="M204" s="3" t="n">
        <v>1</v>
      </c>
      <c r="N204" s="3" t="n">
        <v>98.89</v>
      </c>
      <c r="O204" s="3" t="s">
        <v>407</v>
      </c>
    </row>
    <row r="205" customFormat="false" ht="15" hidden="false" customHeight="false" outlineLevel="0" collapsed="false">
      <c r="A205" s="3" t="s">
        <v>410</v>
      </c>
      <c r="B205" s="3" t="s">
        <v>85</v>
      </c>
      <c r="C205" s="3" t="s">
        <v>86</v>
      </c>
      <c r="D205" s="3" t="s">
        <v>402</v>
      </c>
      <c r="E205" s="3" t="s">
        <v>399</v>
      </c>
      <c r="F205" s="3" t="n">
        <v>154</v>
      </c>
      <c r="G205" s="3" t="n">
        <v>5</v>
      </c>
      <c r="H205" s="3" t="n">
        <v>189</v>
      </c>
      <c r="I205" s="3" t="n">
        <v>5.36</v>
      </c>
      <c r="J205" s="3" t="n">
        <v>62.7</v>
      </c>
      <c r="K205" s="3" t="n">
        <v>20</v>
      </c>
      <c r="L205" s="3" t="s">
        <v>394</v>
      </c>
      <c r="M205" s="3" t="n">
        <v>0</v>
      </c>
      <c r="N205" s="3" t="n">
        <v>58.22</v>
      </c>
      <c r="O205" s="3" t="s">
        <v>404</v>
      </c>
    </row>
    <row r="206" customFormat="false" ht="15" hidden="false" customHeight="false" outlineLevel="0" collapsed="false">
      <c r="A206" s="3" t="s">
        <v>410</v>
      </c>
      <c r="B206" s="3" t="s">
        <v>85</v>
      </c>
      <c r="C206" s="3" t="s">
        <v>88</v>
      </c>
      <c r="D206" s="3" t="s">
        <v>406</v>
      </c>
      <c r="E206" s="3" t="s">
        <v>403</v>
      </c>
      <c r="F206" s="3" t="n">
        <v>282</v>
      </c>
      <c r="G206" s="3" t="n">
        <v>199</v>
      </c>
      <c r="H206" s="3" t="n">
        <v>70</v>
      </c>
      <c r="I206" s="3" t="n">
        <v>193.26</v>
      </c>
      <c r="J206" s="3" t="n">
        <v>54.02</v>
      </c>
      <c r="K206" s="3" t="n">
        <v>0</v>
      </c>
      <c r="L206" s="3" t="s">
        <v>401</v>
      </c>
      <c r="M206" s="3" t="n">
        <v>0</v>
      </c>
      <c r="N206" s="3" t="n">
        <v>52.91</v>
      </c>
      <c r="O206" s="3" t="s">
        <v>407</v>
      </c>
    </row>
    <row r="207" customFormat="false" ht="15" hidden="false" customHeight="false" outlineLevel="0" collapsed="false">
      <c r="A207" s="3" t="s">
        <v>410</v>
      </c>
      <c r="B207" s="3" t="s">
        <v>85</v>
      </c>
      <c r="C207" s="3" t="s">
        <v>90</v>
      </c>
      <c r="D207" s="3" t="s">
        <v>396</v>
      </c>
      <c r="E207" s="3" t="s">
        <v>397</v>
      </c>
      <c r="F207" s="3" t="n">
        <v>183</v>
      </c>
      <c r="G207" s="3" t="n">
        <v>176</v>
      </c>
      <c r="H207" s="3" t="n">
        <v>124</v>
      </c>
      <c r="I207" s="3" t="n">
        <v>168.28</v>
      </c>
      <c r="J207" s="3" t="n">
        <v>26.03</v>
      </c>
      <c r="K207" s="3" t="n">
        <v>10</v>
      </c>
      <c r="L207" s="3" t="s">
        <v>394</v>
      </c>
      <c r="M207" s="3" t="n">
        <v>0</v>
      </c>
      <c r="N207" s="3" t="n">
        <v>29.38</v>
      </c>
      <c r="O207" s="3" t="s">
        <v>404</v>
      </c>
    </row>
    <row r="208" customFormat="false" ht="15" hidden="false" customHeight="false" outlineLevel="0" collapsed="false">
      <c r="A208" s="3" t="s">
        <v>410</v>
      </c>
      <c r="B208" s="3" t="s">
        <v>85</v>
      </c>
      <c r="C208" s="3" t="s">
        <v>92</v>
      </c>
      <c r="D208" s="3" t="s">
        <v>402</v>
      </c>
      <c r="E208" s="3" t="s">
        <v>403</v>
      </c>
      <c r="F208" s="3" t="n">
        <v>239</v>
      </c>
      <c r="G208" s="3" t="n">
        <v>214</v>
      </c>
      <c r="H208" s="3" t="n">
        <v>51</v>
      </c>
      <c r="I208" s="3" t="n">
        <v>228.51</v>
      </c>
      <c r="J208" s="3" t="n">
        <v>10.19</v>
      </c>
      <c r="K208" s="3" t="n">
        <v>0</v>
      </c>
      <c r="L208" s="3" t="s">
        <v>401</v>
      </c>
      <c r="M208" s="3" t="n">
        <v>1</v>
      </c>
      <c r="N208" s="3" t="n">
        <v>7.82</v>
      </c>
      <c r="O208" s="3" t="s">
        <v>404</v>
      </c>
    </row>
    <row r="209" customFormat="false" ht="15" hidden="false" customHeight="false" outlineLevel="0" collapsed="false">
      <c r="A209" s="3" t="s">
        <v>410</v>
      </c>
      <c r="B209" s="3" t="s">
        <v>85</v>
      </c>
      <c r="C209" s="3" t="s">
        <v>94</v>
      </c>
      <c r="D209" s="3" t="s">
        <v>392</v>
      </c>
      <c r="E209" s="3" t="s">
        <v>399</v>
      </c>
      <c r="F209" s="3" t="n">
        <v>368</v>
      </c>
      <c r="G209" s="3" t="n">
        <v>165</v>
      </c>
      <c r="H209" s="3" t="n">
        <v>56</v>
      </c>
      <c r="I209" s="3" t="n">
        <v>170.76</v>
      </c>
      <c r="J209" s="3" t="n">
        <v>95.54</v>
      </c>
      <c r="K209" s="3" t="n">
        <v>0</v>
      </c>
      <c r="L209" s="3" t="s">
        <v>398</v>
      </c>
      <c r="M209" s="3" t="n">
        <v>0</v>
      </c>
      <c r="N209" s="3" t="n">
        <v>91.29</v>
      </c>
      <c r="O209" s="3" t="s">
        <v>407</v>
      </c>
    </row>
    <row r="210" customFormat="false" ht="15" hidden="false" customHeight="false" outlineLevel="0" collapsed="false">
      <c r="A210" s="3" t="s">
        <v>410</v>
      </c>
      <c r="B210" s="3" t="s">
        <v>85</v>
      </c>
      <c r="C210" s="3" t="s">
        <v>96</v>
      </c>
      <c r="D210" s="3" t="s">
        <v>405</v>
      </c>
      <c r="E210" s="3" t="s">
        <v>397</v>
      </c>
      <c r="F210" s="3" t="n">
        <v>57</v>
      </c>
      <c r="G210" s="3" t="n">
        <v>9</v>
      </c>
      <c r="H210" s="3" t="n">
        <v>40</v>
      </c>
      <c r="I210" s="3" t="n">
        <v>13.6</v>
      </c>
      <c r="J210" s="3" t="n">
        <v>57.65</v>
      </c>
      <c r="K210" s="3" t="n">
        <v>5</v>
      </c>
      <c r="L210" s="3" t="s">
        <v>398</v>
      </c>
      <c r="M210" s="3" t="n">
        <v>0</v>
      </c>
      <c r="N210" s="3" t="n">
        <v>58.01</v>
      </c>
      <c r="O210" s="3" t="s">
        <v>400</v>
      </c>
    </row>
    <row r="211" customFormat="false" ht="15" hidden="false" customHeight="false" outlineLevel="0" collapsed="false">
      <c r="A211" s="3" t="s">
        <v>410</v>
      </c>
      <c r="B211" s="3" t="s">
        <v>85</v>
      </c>
      <c r="C211" s="3" t="s">
        <v>98</v>
      </c>
      <c r="D211" s="3" t="s">
        <v>406</v>
      </c>
      <c r="E211" s="3" t="s">
        <v>397</v>
      </c>
      <c r="F211" s="3" t="n">
        <v>460</v>
      </c>
      <c r="G211" s="3" t="n">
        <v>140</v>
      </c>
      <c r="H211" s="3" t="n">
        <v>70</v>
      </c>
      <c r="I211" s="3" t="n">
        <v>143.7</v>
      </c>
      <c r="J211" s="3" t="n">
        <v>87.85</v>
      </c>
      <c r="K211" s="3" t="n">
        <v>20</v>
      </c>
      <c r="L211" s="3" t="s">
        <v>398</v>
      </c>
      <c r="M211" s="3" t="n">
        <v>0</v>
      </c>
      <c r="N211" s="3" t="n">
        <v>91.9</v>
      </c>
      <c r="O211" s="3" t="s">
        <v>404</v>
      </c>
    </row>
    <row r="212" customFormat="false" ht="15" hidden="false" customHeight="false" outlineLevel="0" collapsed="false">
      <c r="A212" s="3" t="s">
        <v>410</v>
      </c>
      <c r="B212" s="3" t="s">
        <v>85</v>
      </c>
      <c r="C212" s="3" t="s">
        <v>100</v>
      </c>
      <c r="D212" s="3" t="s">
        <v>392</v>
      </c>
      <c r="E212" s="3" t="s">
        <v>399</v>
      </c>
      <c r="F212" s="3" t="n">
        <v>214</v>
      </c>
      <c r="G212" s="3" t="n">
        <v>177</v>
      </c>
      <c r="H212" s="3" t="n">
        <v>150</v>
      </c>
      <c r="I212" s="3" t="n">
        <v>178</v>
      </c>
      <c r="J212" s="3" t="n">
        <v>53.94</v>
      </c>
      <c r="K212" s="3" t="n">
        <v>5</v>
      </c>
      <c r="L212" s="3" t="s">
        <v>408</v>
      </c>
      <c r="M212" s="3" t="n">
        <v>0</v>
      </c>
      <c r="N212" s="3" t="n">
        <v>51.47</v>
      </c>
      <c r="O212" s="3" t="s">
        <v>395</v>
      </c>
    </row>
    <row r="213" customFormat="false" ht="15" hidden="false" customHeight="false" outlineLevel="0" collapsed="false">
      <c r="A213" s="3" t="s">
        <v>410</v>
      </c>
      <c r="B213" s="3" t="s">
        <v>85</v>
      </c>
      <c r="C213" s="3" t="s">
        <v>102</v>
      </c>
      <c r="D213" s="3" t="s">
        <v>392</v>
      </c>
      <c r="E213" s="3" t="s">
        <v>397</v>
      </c>
      <c r="F213" s="3" t="n">
        <v>407</v>
      </c>
      <c r="G213" s="3" t="n">
        <v>217</v>
      </c>
      <c r="H213" s="3" t="n">
        <v>55</v>
      </c>
      <c r="I213" s="3" t="n">
        <v>217.69</v>
      </c>
      <c r="J213" s="3" t="n">
        <v>61.42</v>
      </c>
      <c r="K213" s="3" t="n">
        <v>20</v>
      </c>
      <c r="L213" s="3" t="s">
        <v>398</v>
      </c>
      <c r="M213" s="3" t="n">
        <v>0</v>
      </c>
      <c r="N213" s="3" t="n">
        <v>65.86</v>
      </c>
      <c r="O213" s="3" t="s">
        <v>404</v>
      </c>
    </row>
    <row r="214" customFormat="false" ht="15" hidden="false" customHeight="false" outlineLevel="0" collapsed="false">
      <c r="A214" s="3" t="s">
        <v>410</v>
      </c>
      <c r="B214" s="3" t="s">
        <v>85</v>
      </c>
      <c r="C214" s="3" t="s">
        <v>104</v>
      </c>
      <c r="D214" s="3" t="s">
        <v>402</v>
      </c>
      <c r="E214" s="3" t="s">
        <v>399</v>
      </c>
      <c r="F214" s="3" t="n">
        <v>51</v>
      </c>
      <c r="G214" s="3" t="n">
        <v>47</v>
      </c>
      <c r="H214" s="3" t="n">
        <v>155</v>
      </c>
      <c r="I214" s="3" t="n">
        <v>38.08</v>
      </c>
      <c r="J214" s="3" t="n">
        <v>99.14</v>
      </c>
      <c r="K214" s="3" t="n">
        <v>10</v>
      </c>
      <c r="L214" s="3" t="s">
        <v>408</v>
      </c>
      <c r="M214" s="3" t="n">
        <v>0</v>
      </c>
      <c r="N214" s="3" t="n">
        <v>102.66</v>
      </c>
      <c r="O214" s="3" t="s">
        <v>395</v>
      </c>
    </row>
    <row r="215" customFormat="false" ht="15" hidden="false" customHeight="false" outlineLevel="0" collapsed="false">
      <c r="A215" s="3" t="s">
        <v>410</v>
      </c>
      <c r="B215" s="3" t="s">
        <v>85</v>
      </c>
      <c r="C215" s="3" t="s">
        <v>106</v>
      </c>
      <c r="D215" s="3" t="s">
        <v>392</v>
      </c>
      <c r="E215" s="3" t="s">
        <v>403</v>
      </c>
      <c r="F215" s="3" t="n">
        <v>252</v>
      </c>
      <c r="G215" s="3" t="n">
        <v>3</v>
      </c>
      <c r="H215" s="3" t="n">
        <v>98</v>
      </c>
      <c r="I215" s="3" t="n">
        <v>5.18</v>
      </c>
      <c r="J215" s="3" t="n">
        <v>60.52</v>
      </c>
      <c r="K215" s="3" t="n">
        <v>0</v>
      </c>
      <c r="L215" s="3" t="s">
        <v>401</v>
      </c>
      <c r="M215" s="3" t="n">
        <v>0</v>
      </c>
      <c r="N215" s="3" t="n">
        <v>62.72</v>
      </c>
      <c r="O215" s="3" t="s">
        <v>395</v>
      </c>
    </row>
    <row r="216" customFormat="false" ht="15" hidden="false" customHeight="false" outlineLevel="0" collapsed="false">
      <c r="A216" s="3" t="s">
        <v>410</v>
      </c>
      <c r="B216" s="3" t="s">
        <v>85</v>
      </c>
      <c r="C216" s="3" t="s">
        <v>108</v>
      </c>
      <c r="D216" s="3" t="s">
        <v>406</v>
      </c>
      <c r="E216" s="3" t="s">
        <v>403</v>
      </c>
      <c r="F216" s="3" t="n">
        <v>72</v>
      </c>
      <c r="G216" s="3" t="n">
        <v>2</v>
      </c>
      <c r="H216" s="3" t="n">
        <v>62</v>
      </c>
      <c r="I216" s="3" t="n">
        <v>9.81</v>
      </c>
      <c r="J216" s="3" t="n">
        <v>86.93</v>
      </c>
      <c r="K216" s="3" t="n">
        <v>15</v>
      </c>
      <c r="L216" s="3" t="s">
        <v>401</v>
      </c>
      <c r="M216" s="3" t="n">
        <v>0</v>
      </c>
      <c r="N216" s="3" t="n">
        <v>83.11</v>
      </c>
      <c r="O216" s="3" t="s">
        <v>400</v>
      </c>
    </row>
    <row r="217" customFormat="false" ht="15" hidden="false" customHeight="false" outlineLevel="0" collapsed="false">
      <c r="A217" s="3" t="s">
        <v>410</v>
      </c>
      <c r="B217" s="3" t="s">
        <v>85</v>
      </c>
      <c r="C217" s="3" t="s">
        <v>110</v>
      </c>
      <c r="D217" s="3" t="s">
        <v>406</v>
      </c>
      <c r="E217" s="3" t="s">
        <v>397</v>
      </c>
      <c r="F217" s="3" t="n">
        <v>194</v>
      </c>
      <c r="G217" s="3" t="n">
        <v>18</v>
      </c>
      <c r="H217" s="3" t="n">
        <v>120</v>
      </c>
      <c r="I217" s="3" t="n">
        <v>20.5</v>
      </c>
      <c r="J217" s="3" t="n">
        <v>83.11</v>
      </c>
      <c r="K217" s="3" t="n">
        <v>10</v>
      </c>
      <c r="L217" s="3" t="s">
        <v>408</v>
      </c>
      <c r="M217" s="3" t="n">
        <v>1</v>
      </c>
      <c r="N217" s="3" t="n">
        <v>85.16</v>
      </c>
      <c r="O217" s="3" t="s">
        <v>400</v>
      </c>
    </row>
    <row r="218" customFormat="false" ht="15" hidden="false" customHeight="false" outlineLevel="0" collapsed="false">
      <c r="A218" s="3" t="s">
        <v>410</v>
      </c>
      <c r="B218" s="3" t="s">
        <v>85</v>
      </c>
      <c r="C218" s="3" t="s">
        <v>112</v>
      </c>
      <c r="D218" s="3" t="s">
        <v>396</v>
      </c>
      <c r="E218" s="3" t="s">
        <v>397</v>
      </c>
      <c r="F218" s="3" t="n">
        <v>302</v>
      </c>
      <c r="G218" s="3" t="n">
        <v>242</v>
      </c>
      <c r="H218" s="3" t="n">
        <v>145</v>
      </c>
      <c r="I218" s="3" t="n">
        <v>255.54</v>
      </c>
      <c r="J218" s="3" t="n">
        <v>32.28</v>
      </c>
      <c r="K218" s="3" t="n">
        <v>10</v>
      </c>
      <c r="L218" s="3" t="s">
        <v>394</v>
      </c>
      <c r="M218" s="3" t="n">
        <v>1</v>
      </c>
      <c r="N218" s="3" t="n">
        <v>30.1</v>
      </c>
      <c r="O218" s="3" t="s">
        <v>404</v>
      </c>
    </row>
    <row r="219" customFormat="false" ht="15" hidden="false" customHeight="false" outlineLevel="0" collapsed="false">
      <c r="A219" s="3" t="s">
        <v>410</v>
      </c>
      <c r="B219" s="3" t="s">
        <v>85</v>
      </c>
      <c r="C219" s="3" t="s">
        <v>114</v>
      </c>
      <c r="D219" s="3" t="s">
        <v>396</v>
      </c>
      <c r="E219" s="3" t="s">
        <v>393</v>
      </c>
      <c r="F219" s="3" t="n">
        <v>330</v>
      </c>
      <c r="G219" s="3" t="n">
        <v>228</v>
      </c>
      <c r="H219" s="3" t="n">
        <v>157</v>
      </c>
      <c r="I219" s="3" t="n">
        <v>246.91</v>
      </c>
      <c r="J219" s="3" t="n">
        <v>52.17</v>
      </c>
      <c r="K219" s="3" t="n">
        <v>10</v>
      </c>
      <c r="L219" s="3" t="s">
        <v>398</v>
      </c>
      <c r="M219" s="3" t="n">
        <v>1</v>
      </c>
      <c r="N219" s="3" t="n">
        <v>52.43</v>
      </c>
      <c r="O219" s="3" t="s">
        <v>400</v>
      </c>
    </row>
    <row r="220" customFormat="false" ht="15" hidden="false" customHeight="false" outlineLevel="0" collapsed="false">
      <c r="A220" s="3" t="s">
        <v>410</v>
      </c>
      <c r="B220" s="3" t="s">
        <v>85</v>
      </c>
      <c r="C220" s="3" t="s">
        <v>116</v>
      </c>
      <c r="D220" s="3" t="s">
        <v>406</v>
      </c>
      <c r="E220" s="3" t="s">
        <v>403</v>
      </c>
      <c r="F220" s="3" t="n">
        <v>148</v>
      </c>
      <c r="G220" s="3" t="n">
        <v>31</v>
      </c>
      <c r="H220" s="3" t="n">
        <v>160</v>
      </c>
      <c r="I220" s="3" t="n">
        <v>35.11</v>
      </c>
      <c r="J220" s="3" t="n">
        <v>93.61</v>
      </c>
      <c r="K220" s="3" t="n">
        <v>15</v>
      </c>
      <c r="L220" s="3" t="s">
        <v>408</v>
      </c>
      <c r="M220" s="3" t="n">
        <v>1</v>
      </c>
      <c r="N220" s="3" t="n">
        <v>94.15</v>
      </c>
      <c r="O220" s="3" t="s">
        <v>407</v>
      </c>
    </row>
    <row r="221" customFormat="false" ht="15" hidden="false" customHeight="false" outlineLevel="0" collapsed="false">
      <c r="A221" s="3" t="s">
        <v>410</v>
      </c>
      <c r="B221" s="3" t="s">
        <v>85</v>
      </c>
      <c r="C221" s="3" t="s">
        <v>118</v>
      </c>
      <c r="D221" s="3" t="s">
        <v>406</v>
      </c>
      <c r="E221" s="3" t="s">
        <v>393</v>
      </c>
      <c r="F221" s="3" t="n">
        <v>315</v>
      </c>
      <c r="G221" s="3" t="n">
        <v>16</v>
      </c>
      <c r="H221" s="3" t="n">
        <v>197</v>
      </c>
      <c r="I221" s="3" t="n">
        <v>33.51</v>
      </c>
      <c r="J221" s="3" t="n">
        <v>98.25</v>
      </c>
      <c r="K221" s="3" t="n">
        <v>5</v>
      </c>
      <c r="L221" s="3" t="s">
        <v>398</v>
      </c>
      <c r="M221" s="3" t="n">
        <v>0</v>
      </c>
      <c r="N221" s="3" t="n">
        <v>100.34</v>
      </c>
      <c r="O221" s="3" t="s">
        <v>407</v>
      </c>
    </row>
    <row r="222" customFormat="false" ht="15" hidden="false" customHeight="false" outlineLevel="0" collapsed="false">
      <c r="A222" s="3" t="s">
        <v>410</v>
      </c>
      <c r="B222" s="3" t="s">
        <v>85</v>
      </c>
      <c r="C222" s="3" t="s">
        <v>120</v>
      </c>
      <c r="D222" s="3" t="s">
        <v>405</v>
      </c>
      <c r="E222" s="3" t="s">
        <v>403</v>
      </c>
      <c r="F222" s="3" t="n">
        <v>97</v>
      </c>
      <c r="G222" s="3" t="n">
        <v>20</v>
      </c>
      <c r="H222" s="3" t="n">
        <v>147</v>
      </c>
      <c r="I222" s="3" t="n">
        <v>37.26</v>
      </c>
      <c r="J222" s="3" t="n">
        <v>78.53</v>
      </c>
      <c r="K222" s="3" t="n">
        <v>5</v>
      </c>
      <c r="L222" s="3" t="s">
        <v>394</v>
      </c>
      <c r="M222" s="3" t="n">
        <v>0</v>
      </c>
      <c r="N222" s="3" t="n">
        <v>75.48</v>
      </c>
      <c r="O222" s="3" t="s">
        <v>395</v>
      </c>
    </row>
    <row r="223" customFormat="false" ht="15" hidden="false" customHeight="false" outlineLevel="0" collapsed="false">
      <c r="A223" s="3" t="s">
        <v>410</v>
      </c>
      <c r="B223" s="3" t="s">
        <v>85</v>
      </c>
      <c r="C223" s="3" t="s">
        <v>122</v>
      </c>
      <c r="D223" s="3" t="s">
        <v>405</v>
      </c>
      <c r="E223" s="3" t="s">
        <v>397</v>
      </c>
      <c r="F223" s="3" t="n">
        <v>240</v>
      </c>
      <c r="G223" s="3" t="n">
        <v>193</v>
      </c>
      <c r="H223" s="3" t="n">
        <v>171</v>
      </c>
      <c r="I223" s="3" t="n">
        <v>203.45</v>
      </c>
      <c r="J223" s="3" t="n">
        <v>56.91</v>
      </c>
      <c r="K223" s="3" t="n">
        <v>0</v>
      </c>
      <c r="L223" s="3" t="s">
        <v>398</v>
      </c>
      <c r="M223" s="3" t="n">
        <v>1</v>
      </c>
      <c r="N223" s="3" t="n">
        <v>54.2</v>
      </c>
      <c r="O223" s="3" t="s">
        <v>407</v>
      </c>
    </row>
    <row r="224" customFormat="false" ht="15" hidden="false" customHeight="false" outlineLevel="0" collapsed="false">
      <c r="A224" s="3" t="s">
        <v>410</v>
      </c>
      <c r="B224" s="3" t="s">
        <v>85</v>
      </c>
      <c r="C224" s="3" t="s">
        <v>124</v>
      </c>
      <c r="D224" s="3" t="s">
        <v>396</v>
      </c>
      <c r="E224" s="3" t="s">
        <v>393</v>
      </c>
      <c r="F224" s="3" t="n">
        <v>178</v>
      </c>
      <c r="G224" s="3" t="n">
        <v>118</v>
      </c>
      <c r="H224" s="3" t="n">
        <v>162</v>
      </c>
      <c r="I224" s="3" t="n">
        <v>110.02</v>
      </c>
      <c r="J224" s="3" t="n">
        <v>35.32</v>
      </c>
      <c r="K224" s="3" t="n">
        <v>20</v>
      </c>
      <c r="L224" s="3" t="s">
        <v>401</v>
      </c>
      <c r="M224" s="3" t="n">
        <v>1</v>
      </c>
      <c r="N224" s="3" t="n">
        <v>37.56</v>
      </c>
      <c r="O224" s="3" t="s">
        <v>400</v>
      </c>
    </row>
    <row r="225" customFormat="false" ht="15" hidden="false" customHeight="false" outlineLevel="0" collapsed="false">
      <c r="A225" s="3" t="s">
        <v>410</v>
      </c>
      <c r="B225" s="3" t="s">
        <v>126</v>
      </c>
      <c r="C225" s="3" t="s">
        <v>86</v>
      </c>
      <c r="D225" s="3" t="s">
        <v>396</v>
      </c>
      <c r="E225" s="3" t="s">
        <v>393</v>
      </c>
      <c r="F225" s="3" t="n">
        <v>405</v>
      </c>
      <c r="G225" s="3" t="n">
        <v>96</v>
      </c>
      <c r="H225" s="3" t="n">
        <v>171</v>
      </c>
      <c r="I225" s="3" t="n">
        <v>100.82</v>
      </c>
      <c r="J225" s="3" t="n">
        <v>48.08</v>
      </c>
      <c r="K225" s="3" t="n">
        <v>0</v>
      </c>
      <c r="L225" s="3" t="s">
        <v>394</v>
      </c>
      <c r="M225" s="3" t="n">
        <v>1</v>
      </c>
      <c r="N225" s="3" t="n">
        <v>49.4</v>
      </c>
      <c r="O225" s="3" t="s">
        <v>395</v>
      </c>
    </row>
    <row r="226" customFormat="false" ht="15" hidden="false" customHeight="false" outlineLevel="0" collapsed="false">
      <c r="A226" s="3" t="s">
        <v>410</v>
      </c>
      <c r="B226" s="3" t="s">
        <v>126</v>
      </c>
      <c r="C226" s="3" t="s">
        <v>88</v>
      </c>
      <c r="D226" s="3" t="s">
        <v>402</v>
      </c>
      <c r="E226" s="3" t="s">
        <v>393</v>
      </c>
      <c r="F226" s="3" t="n">
        <v>200</v>
      </c>
      <c r="G226" s="3" t="n">
        <v>48</v>
      </c>
      <c r="H226" s="3" t="n">
        <v>47</v>
      </c>
      <c r="I226" s="3" t="n">
        <v>55.45</v>
      </c>
      <c r="J226" s="3" t="n">
        <v>46.95</v>
      </c>
      <c r="K226" s="3" t="n">
        <v>15</v>
      </c>
      <c r="L226" s="3" t="s">
        <v>408</v>
      </c>
      <c r="M226" s="3" t="n">
        <v>1</v>
      </c>
      <c r="N226" s="3" t="n">
        <v>43.48</v>
      </c>
      <c r="O226" s="3" t="s">
        <v>400</v>
      </c>
    </row>
    <row r="227" customFormat="false" ht="15" hidden="false" customHeight="false" outlineLevel="0" collapsed="false">
      <c r="A227" s="3" t="s">
        <v>410</v>
      </c>
      <c r="B227" s="3" t="s">
        <v>126</v>
      </c>
      <c r="C227" s="3" t="s">
        <v>90</v>
      </c>
      <c r="D227" s="3" t="s">
        <v>405</v>
      </c>
      <c r="E227" s="3" t="s">
        <v>399</v>
      </c>
      <c r="F227" s="3" t="n">
        <v>327</v>
      </c>
      <c r="G227" s="3" t="n">
        <v>130</v>
      </c>
      <c r="H227" s="3" t="n">
        <v>166</v>
      </c>
      <c r="I227" s="3" t="n">
        <v>127.03</v>
      </c>
      <c r="J227" s="3" t="n">
        <v>94.45</v>
      </c>
      <c r="K227" s="3" t="n">
        <v>20</v>
      </c>
      <c r="L227" s="3" t="s">
        <v>401</v>
      </c>
      <c r="M227" s="3" t="n">
        <v>1</v>
      </c>
      <c r="N227" s="3" t="n">
        <v>99.26</v>
      </c>
      <c r="O227" s="3" t="s">
        <v>404</v>
      </c>
    </row>
    <row r="228" customFormat="false" ht="15" hidden="false" customHeight="false" outlineLevel="0" collapsed="false">
      <c r="A228" s="3" t="s">
        <v>410</v>
      </c>
      <c r="B228" s="3" t="s">
        <v>126</v>
      </c>
      <c r="C228" s="3" t="s">
        <v>92</v>
      </c>
      <c r="D228" s="3" t="s">
        <v>392</v>
      </c>
      <c r="E228" s="3" t="s">
        <v>393</v>
      </c>
      <c r="F228" s="3" t="n">
        <v>409</v>
      </c>
      <c r="G228" s="3" t="n">
        <v>11</v>
      </c>
      <c r="H228" s="3" t="n">
        <v>48</v>
      </c>
      <c r="I228" s="3" t="n">
        <v>8.25</v>
      </c>
      <c r="J228" s="3" t="n">
        <v>27.28</v>
      </c>
      <c r="K228" s="3" t="n">
        <v>10</v>
      </c>
      <c r="L228" s="3" t="s">
        <v>408</v>
      </c>
      <c r="M228" s="3" t="n">
        <v>1</v>
      </c>
      <c r="N228" s="3" t="n">
        <v>28.61</v>
      </c>
      <c r="O228" s="3" t="s">
        <v>395</v>
      </c>
    </row>
    <row r="229" customFormat="false" ht="15" hidden="false" customHeight="false" outlineLevel="0" collapsed="false">
      <c r="A229" s="3" t="s">
        <v>410</v>
      </c>
      <c r="B229" s="3" t="s">
        <v>126</v>
      </c>
      <c r="C229" s="3" t="s">
        <v>94</v>
      </c>
      <c r="D229" s="3" t="s">
        <v>392</v>
      </c>
      <c r="E229" s="3" t="s">
        <v>399</v>
      </c>
      <c r="F229" s="3" t="n">
        <v>327</v>
      </c>
      <c r="G229" s="3" t="n">
        <v>313</v>
      </c>
      <c r="H229" s="3" t="n">
        <v>194</v>
      </c>
      <c r="I229" s="3" t="n">
        <v>326.56</v>
      </c>
      <c r="J229" s="3" t="n">
        <v>29.74</v>
      </c>
      <c r="K229" s="3" t="n">
        <v>0</v>
      </c>
      <c r="L229" s="3" t="s">
        <v>408</v>
      </c>
      <c r="M229" s="3" t="n">
        <v>1</v>
      </c>
      <c r="N229" s="3" t="n">
        <v>31.67</v>
      </c>
      <c r="O229" s="3" t="s">
        <v>404</v>
      </c>
    </row>
    <row r="230" customFormat="false" ht="15" hidden="false" customHeight="false" outlineLevel="0" collapsed="false">
      <c r="A230" s="3" t="s">
        <v>410</v>
      </c>
      <c r="B230" s="3" t="s">
        <v>126</v>
      </c>
      <c r="C230" s="3" t="s">
        <v>96</v>
      </c>
      <c r="D230" s="3" t="s">
        <v>405</v>
      </c>
      <c r="E230" s="3" t="s">
        <v>393</v>
      </c>
      <c r="F230" s="3" t="n">
        <v>388</v>
      </c>
      <c r="G230" s="3" t="n">
        <v>352</v>
      </c>
      <c r="H230" s="3" t="n">
        <v>199</v>
      </c>
      <c r="I230" s="3" t="n">
        <v>365.82</v>
      </c>
      <c r="J230" s="3" t="n">
        <v>27.64</v>
      </c>
      <c r="K230" s="3" t="n">
        <v>5</v>
      </c>
      <c r="L230" s="3" t="s">
        <v>408</v>
      </c>
      <c r="M230" s="3" t="n">
        <v>0</v>
      </c>
      <c r="N230" s="3" t="n">
        <v>27.19</v>
      </c>
      <c r="O230" s="3" t="s">
        <v>400</v>
      </c>
    </row>
    <row r="231" customFormat="false" ht="15" hidden="false" customHeight="false" outlineLevel="0" collapsed="false">
      <c r="A231" s="3" t="s">
        <v>410</v>
      </c>
      <c r="B231" s="3" t="s">
        <v>126</v>
      </c>
      <c r="C231" s="3" t="s">
        <v>98</v>
      </c>
      <c r="D231" s="3" t="s">
        <v>396</v>
      </c>
      <c r="E231" s="3" t="s">
        <v>397</v>
      </c>
      <c r="F231" s="3" t="n">
        <v>483</v>
      </c>
      <c r="G231" s="3" t="n">
        <v>265</v>
      </c>
      <c r="H231" s="3" t="n">
        <v>108</v>
      </c>
      <c r="I231" s="3" t="n">
        <v>277.23</v>
      </c>
      <c r="J231" s="3" t="n">
        <v>60.54</v>
      </c>
      <c r="K231" s="3" t="n">
        <v>5</v>
      </c>
      <c r="L231" s="3" t="s">
        <v>394</v>
      </c>
      <c r="M231" s="3" t="n">
        <v>0</v>
      </c>
      <c r="N231" s="3" t="n">
        <v>55.83</v>
      </c>
      <c r="O231" s="3" t="s">
        <v>395</v>
      </c>
    </row>
    <row r="232" customFormat="false" ht="15" hidden="false" customHeight="false" outlineLevel="0" collapsed="false">
      <c r="A232" s="3" t="s">
        <v>410</v>
      </c>
      <c r="B232" s="3" t="s">
        <v>126</v>
      </c>
      <c r="C232" s="3" t="s">
        <v>100</v>
      </c>
      <c r="D232" s="3" t="s">
        <v>405</v>
      </c>
      <c r="E232" s="3" t="s">
        <v>397</v>
      </c>
      <c r="F232" s="3" t="n">
        <v>70</v>
      </c>
      <c r="G232" s="3" t="n">
        <v>11</v>
      </c>
      <c r="H232" s="3" t="n">
        <v>137</v>
      </c>
      <c r="I232" s="3" t="n">
        <v>23.62</v>
      </c>
      <c r="J232" s="3" t="n">
        <v>58.55</v>
      </c>
      <c r="K232" s="3" t="n">
        <v>10</v>
      </c>
      <c r="L232" s="3" t="s">
        <v>401</v>
      </c>
      <c r="M232" s="3" t="n">
        <v>0</v>
      </c>
      <c r="N232" s="3" t="n">
        <v>63.45</v>
      </c>
      <c r="O232" s="3" t="s">
        <v>400</v>
      </c>
    </row>
    <row r="233" customFormat="false" ht="15" hidden="false" customHeight="false" outlineLevel="0" collapsed="false">
      <c r="A233" s="3" t="s">
        <v>410</v>
      </c>
      <c r="B233" s="3" t="s">
        <v>126</v>
      </c>
      <c r="C233" s="3" t="s">
        <v>102</v>
      </c>
      <c r="D233" s="3" t="s">
        <v>392</v>
      </c>
      <c r="E233" s="3" t="s">
        <v>397</v>
      </c>
      <c r="F233" s="3" t="n">
        <v>288</v>
      </c>
      <c r="G233" s="3" t="n">
        <v>191</v>
      </c>
      <c r="H233" s="3" t="n">
        <v>29</v>
      </c>
      <c r="I233" s="3" t="n">
        <v>207.27</v>
      </c>
      <c r="J233" s="3" t="n">
        <v>58.59</v>
      </c>
      <c r="K233" s="3" t="n">
        <v>0</v>
      </c>
      <c r="L233" s="3" t="s">
        <v>401</v>
      </c>
      <c r="M233" s="3" t="n">
        <v>0</v>
      </c>
      <c r="N233" s="3" t="n">
        <v>60.98</v>
      </c>
      <c r="O233" s="3" t="s">
        <v>400</v>
      </c>
    </row>
    <row r="234" customFormat="false" ht="15" hidden="false" customHeight="false" outlineLevel="0" collapsed="false">
      <c r="A234" s="3" t="s">
        <v>410</v>
      </c>
      <c r="B234" s="3" t="s">
        <v>126</v>
      </c>
      <c r="C234" s="3" t="s">
        <v>104</v>
      </c>
      <c r="D234" s="3" t="s">
        <v>402</v>
      </c>
      <c r="E234" s="3" t="s">
        <v>399</v>
      </c>
      <c r="F234" s="3" t="n">
        <v>270</v>
      </c>
      <c r="G234" s="3" t="n">
        <v>185</v>
      </c>
      <c r="H234" s="3" t="n">
        <v>150</v>
      </c>
      <c r="I234" s="3" t="n">
        <v>192.21</v>
      </c>
      <c r="J234" s="3" t="n">
        <v>95.48</v>
      </c>
      <c r="K234" s="3" t="n">
        <v>0</v>
      </c>
      <c r="L234" s="3" t="s">
        <v>394</v>
      </c>
      <c r="M234" s="3" t="n">
        <v>1</v>
      </c>
      <c r="N234" s="3" t="n">
        <v>91.76</v>
      </c>
      <c r="O234" s="3" t="s">
        <v>404</v>
      </c>
    </row>
    <row r="235" customFormat="false" ht="15" hidden="false" customHeight="false" outlineLevel="0" collapsed="false">
      <c r="A235" s="3" t="s">
        <v>410</v>
      </c>
      <c r="B235" s="3" t="s">
        <v>126</v>
      </c>
      <c r="C235" s="3" t="s">
        <v>106</v>
      </c>
      <c r="D235" s="3" t="s">
        <v>406</v>
      </c>
      <c r="E235" s="3" t="s">
        <v>393</v>
      </c>
      <c r="F235" s="3" t="n">
        <v>217</v>
      </c>
      <c r="G235" s="3" t="n">
        <v>143</v>
      </c>
      <c r="H235" s="3" t="n">
        <v>66</v>
      </c>
      <c r="I235" s="3" t="n">
        <v>154.26</v>
      </c>
      <c r="J235" s="3" t="n">
        <v>37.81</v>
      </c>
      <c r="K235" s="3" t="n">
        <v>20</v>
      </c>
      <c r="L235" s="3" t="s">
        <v>408</v>
      </c>
      <c r="M235" s="3" t="n">
        <v>1</v>
      </c>
      <c r="N235" s="3" t="n">
        <v>37.14</v>
      </c>
      <c r="O235" s="3" t="s">
        <v>395</v>
      </c>
    </row>
    <row r="236" customFormat="false" ht="15" hidden="false" customHeight="false" outlineLevel="0" collapsed="false">
      <c r="A236" s="3" t="s">
        <v>410</v>
      </c>
      <c r="B236" s="3" t="s">
        <v>126</v>
      </c>
      <c r="C236" s="3" t="s">
        <v>108</v>
      </c>
      <c r="D236" s="3" t="s">
        <v>402</v>
      </c>
      <c r="E236" s="3" t="s">
        <v>399</v>
      </c>
      <c r="F236" s="3" t="n">
        <v>221</v>
      </c>
      <c r="G236" s="3" t="n">
        <v>85</v>
      </c>
      <c r="H236" s="3" t="n">
        <v>84</v>
      </c>
      <c r="I236" s="3" t="n">
        <v>104.48</v>
      </c>
      <c r="J236" s="3" t="n">
        <v>48.7</v>
      </c>
      <c r="K236" s="3" t="n">
        <v>10</v>
      </c>
      <c r="L236" s="3" t="s">
        <v>394</v>
      </c>
      <c r="M236" s="3" t="n">
        <v>0</v>
      </c>
      <c r="N236" s="3" t="n">
        <v>51.33</v>
      </c>
      <c r="O236" s="3" t="s">
        <v>407</v>
      </c>
    </row>
    <row r="237" customFormat="false" ht="15" hidden="false" customHeight="false" outlineLevel="0" collapsed="false">
      <c r="A237" s="3" t="s">
        <v>410</v>
      </c>
      <c r="B237" s="3" t="s">
        <v>126</v>
      </c>
      <c r="C237" s="3" t="s">
        <v>110</v>
      </c>
      <c r="D237" s="3" t="s">
        <v>392</v>
      </c>
      <c r="E237" s="3" t="s">
        <v>399</v>
      </c>
      <c r="F237" s="3" t="n">
        <v>303</v>
      </c>
      <c r="G237" s="3" t="n">
        <v>270</v>
      </c>
      <c r="H237" s="3" t="n">
        <v>164</v>
      </c>
      <c r="I237" s="3" t="n">
        <v>268.73</v>
      </c>
      <c r="J237" s="3" t="n">
        <v>65.89</v>
      </c>
      <c r="K237" s="3" t="n">
        <v>10</v>
      </c>
      <c r="L237" s="3" t="s">
        <v>401</v>
      </c>
      <c r="M237" s="3" t="n">
        <v>0</v>
      </c>
      <c r="N237" s="3" t="n">
        <v>64.52</v>
      </c>
      <c r="O237" s="3" t="s">
        <v>400</v>
      </c>
    </row>
    <row r="238" customFormat="false" ht="15" hidden="false" customHeight="false" outlineLevel="0" collapsed="false">
      <c r="A238" s="3" t="s">
        <v>410</v>
      </c>
      <c r="B238" s="3" t="s">
        <v>126</v>
      </c>
      <c r="C238" s="3" t="s">
        <v>112</v>
      </c>
      <c r="D238" s="3" t="s">
        <v>392</v>
      </c>
      <c r="E238" s="3" t="s">
        <v>399</v>
      </c>
      <c r="F238" s="3" t="n">
        <v>298</v>
      </c>
      <c r="G238" s="3" t="n">
        <v>233</v>
      </c>
      <c r="H238" s="3" t="n">
        <v>143</v>
      </c>
      <c r="I238" s="3" t="n">
        <v>245.02</v>
      </c>
      <c r="J238" s="3" t="n">
        <v>20.37</v>
      </c>
      <c r="K238" s="3" t="n">
        <v>0</v>
      </c>
      <c r="L238" s="3" t="s">
        <v>394</v>
      </c>
      <c r="M238" s="3" t="n">
        <v>1</v>
      </c>
      <c r="N238" s="3" t="n">
        <v>23.3</v>
      </c>
      <c r="O238" s="3" t="s">
        <v>407</v>
      </c>
    </row>
    <row r="239" customFormat="false" ht="15" hidden="false" customHeight="false" outlineLevel="0" collapsed="false">
      <c r="A239" s="3" t="s">
        <v>410</v>
      </c>
      <c r="B239" s="3" t="s">
        <v>126</v>
      </c>
      <c r="C239" s="3" t="s">
        <v>114</v>
      </c>
      <c r="D239" s="3" t="s">
        <v>405</v>
      </c>
      <c r="E239" s="3" t="s">
        <v>399</v>
      </c>
      <c r="F239" s="3" t="n">
        <v>193</v>
      </c>
      <c r="G239" s="3" t="n">
        <v>187</v>
      </c>
      <c r="H239" s="3" t="n">
        <v>57</v>
      </c>
      <c r="I239" s="3" t="n">
        <v>177.8</v>
      </c>
      <c r="J239" s="3" t="n">
        <v>46.25</v>
      </c>
      <c r="K239" s="3" t="n">
        <v>0</v>
      </c>
      <c r="L239" s="3" t="s">
        <v>408</v>
      </c>
      <c r="M239" s="3" t="n">
        <v>0</v>
      </c>
      <c r="N239" s="3" t="n">
        <v>49.2</v>
      </c>
      <c r="O239" s="3" t="s">
        <v>407</v>
      </c>
    </row>
    <row r="240" customFormat="false" ht="15" hidden="false" customHeight="false" outlineLevel="0" collapsed="false">
      <c r="A240" s="3" t="s">
        <v>410</v>
      </c>
      <c r="B240" s="3" t="s">
        <v>126</v>
      </c>
      <c r="C240" s="3" t="s">
        <v>116</v>
      </c>
      <c r="D240" s="3" t="s">
        <v>402</v>
      </c>
      <c r="E240" s="3" t="s">
        <v>397</v>
      </c>
      <c r="F240" s="3" t="n">
        <v>205</v>
      </c>
      <c r="G240" s="3" t="n">
        <v>39</v>
      </c>
      <c r="H240" s="3" t="n">
        <v>147</v>
      </c>
      <c r="I240" s="3" t="n">
        <v>37.83</v>
      </c>
      <c r="J240" s="3" t="n">
        <v>71.74</v>
      </c>
      <c r="K240" s="3" t="n">
        <v>10</v>
      </c>
      <c r="L240" s="3" t="s">
        <v>394</v>
      </c>
      <c r="M240" s="3" t="n">
        <v>0</v>
      </c>
      <c r="N240" s="3" t="n">
        <v>76.17</v>
      </c>
      <c r="O240" s="3" t="s">
        <v>404</v>
      </c>
    </row>
    <row r="241" customFormat="false" ht="15" hidden="false" customHeight="false" outlineLevel="0" collapsed="false">
      <c r="A241" s="3" t="s">
        <v>410</v>
      </c>
      <c r="B241" s="3" t="s">
        <v>126</v>
      </c>
      <c r="C241" s="3" t="s">
        <v>118</v>
      </c>
      <c r="D241" s="3" t="s">
        <v>396</v>
      </c>
      <c r="E241" s="3" t="s">
        <v>399</v>
      </c>
      <c r="F241" s="3" t="n">
        <v>427</v>
      </c>
      <c r="G241" s="3" t="n">
        <v>234</v>
      </c>
      <c r="H241" s="3" t="n">
        <v>195</v>
      </c>
      <c r="I241" s="3" t="n">
        <v>231.16</v>
      </c>
      <c r="J241" s="3" t="n">
        <v>20.57</v>
      </c>
      <c r="K241" s="3" t="n">
        <v>10</v>
      </c>
      <c r="L241" s="3" t="s">
        <v>394</v>
      </c>
      <c r="M241" s="3" t="n">
        <v>1</v>
      </c>
      <c r="N241" s="3" t="n">
        <v>22.24</v>
      </c>
      <c r="O241" s="3" t="s">
        <v>395</v>
      </c>
    </row>
    <row r="242" customFormat="false" ht="15" hidden="false" customHeight="false" outlineLevel="0" collapsed="false">
      <c r="A242" s="3" t="s">
        <v>410</v>
      </c>
      <c r="B242" s="3" t="s">
        <v>126</v>
      </c>
      <c r="C242" s="3" t="s">
        <v>120</v>
      </c>
      <c r="D242" s="3" t="s">
        <v>406</v>
      </c>
      <c r="E242" s="3" t="s">
        <v>397</v>
      </c>
      <c r="F242" s="3" t="n">
        <v>365</v>
      </c>
      <c r="G242" s="3" t="n">
        <v>213</v>
      </c>
      <c r="H242" s="3" t="n">
        <v>106</v>
      </c>
      <c r="I242" s="3" t="n">
        <v>208.31</v>
      </c>
      <c r="J242" s="3" t="n">
        <v>29.88</v>
      </c>
      <c r="K242" s="3" t="n">
        <v>20</v>
      </c>
      <c r="L242" s="3" t="s">
        <v>394</v>
      </c>
      <c r="M242" s="3" t="n">
        <v>1</v>
      </c>
      <c r="N242" s="3" t="n">
        <v>25.73</v>
      </c>
      <c r="O242" s="3" t="s">
        <v>395</v>
      </c>
    </row>
    <row r="243" customFormat="false" ht="15" hidden="false" customHeight="false" outlineLevel="0" collapsed="false">
      <c r="A243" s="3" t="s">
        <v>410</v>
      </c>
      <c r="B243" s="3" t="s">
        <v>126</v>
      </c>
      <c r="C243" s="3" t="s">
        <v>122</v>
      </c>
      <c r="D243" s="3" t="s">
        <v>406</v>
      </c>
      <c r="E243" s="3" t="s">
        <v>393</v>
      </c>
      <c r="F243" s="3" t="n">
        <v>111</v>
      </c>
      <c r="G243" s="3" t="n">
        <v>55</v>
      </c>
      <c r="H243" s="3" t="n">
        <v>163</v>
      </c>
      <c r="I243" s="3" t="n">
        <v>71.88</v>
      </c>
      <c r="J243" s="3" t="n">
        <v>73.98</v>
      </c>
      <c r="K243" s="3" t="n">
        <v>15</v>
      </c>
      <c r="L243" s="3" t="s">
        <v>394</v>
      </c>
      <c r="M243" s="3" t="n">
        <v>1</v>
      </c>
      <c r="N243" s="3" t="n">
        <v>73.5</v>
      </c>
      <c r="O243" s="3" t="s">
        <v>404</v>
      </c>
    </row>
    <row r="244" customFormat="false" ht="15" hidden="false" customHeight="false" outlineLevel="0" collapsed="false">
      <c r="A244" s="3" t="s">
        <v>410</v>
      </c>
      <c r="B244" s="3" t="s">
        <v>126</v>
      </c>
      <c r="C244" s="3" t="s">
        <v>124</v>
      </c>
      <c r="D244" s="3" t="s">
        <v>392</v>
      </c>
      <c r="E244" s="3" t="s">
        <v>397</v>
      </c>
      <c r="F244" s="3" t="n">
        <v>271</v>
      </c>
      <c r="G244" s="3" t="n">
        <v>22</v>
      </c>
      <c r="H244" s="3" t="n">
        <v>178</v>
      </c>
      <c r="I244" s="3" t="n">
        <v>15.3</v>
      </c>
      <c r="J244" s="3" t="n">
        <v>45.02</v>
      </c>
      <c r="K244" s="3" t="n">
        <v>10</v>
      </c>
      <c r="L244" s="3" t="s">
        <v>398</v>
      </c>
      <c r="M244" s="3" t="n">
        <v>0</v>
      </c>
      <c r="N244" s="3" t="n">
        <v>47.01</v>
      </c>
      <c r="O244" s="3" t="s">
        <v>407</v>
      </c>
    </row>
    <row r="245" customFormat="false" ht="15" hidden="false" customHeight="false" outlineLevel="0" collapsed="false">
      <c r="A245" s="3" t="s">
        <v>410</v>
      </c>
      <c r="B245" s="3" t="s">
        <v>147</v>
      </c>
      <c r="C245" s="3" t="s">
        <v>86</v>
      </c>
      <c r="D245" s="3" t="s">
        <v>406</v>
      </c>
      <c r="E245" s="3" t="s">
        <v>393</v>
      </c>
      <c r="F245" s="3" t="n">
        <v>134</v>
      </c>
      <c r="G245" s="3" t="n">
        <v>100</v>
      </c>
      <c r="H245" s="3" t="n">
        <v>185</v>
      </c>
      <c r="I245" s="3" t="n">
        <v>100.66</v>
      </c>
      <c r="J245" s="3" t="n">
        <v>82.88</v>
      </c>
      <c r="K245" s="3" t="n">
        <v>10</v>
      </c>
      <c r="L245" s="3" t="s">
        <v>398</v>
      </c>
      <c r="M245" s="3" t="n">
        <v>1</v>
      </c>
      <c r="N245" s="3" t="n">
        <v>86.74</v>
      </c>
      <c r="O245" s="3" t="s">
        <v>395</v>
      </c>
    </row>
    <row r="246" customFormat="false" ht="15" hidden="false" customHeight="false" outlineLevel="0" collapsed="false">
      <c r="A246" s="3" t="s">
        <v>410</v>
      </c>
      <c r="B246" s="3" t="s">
        <v>147</v>
      </c>
      <c r="C246" s="3" t="s">
        <v>88</v>
      </c>
      <c r="D246" s="3" t="s">
        <v>392</v>
      </c>
      <c r="E246" s="3" t="s">
        <v>393</v>
      </c>
      <c r="F246" s="3" t="n">
        <v>405</v>
      </c>
      <c r="G246" s="3" t="n">
        <v>353</v>
      </c>
      <c r="H246" s="3" t="n">
        <v>74</v>
      </c>
      <c r="I246" s="3" t="n">
        <v>355.08</v>
      </c>
      <c r="J246" s="3" t="n">
        <v>17.36</v>
      </c>
      <c r="K246" s="3" t="n">
        <v>0</v>
      </c>
      <c r="L246" s="3" t="s">
        <v>401</v>
      </c>
      <c r="M246" s="3" t="n">
        <v>1</v>
      </c>
      <c r="N246" s="3" t="n">
        <v>17.32</v>
      </c>
      <c r="O246" s="3" t="s">
        <v>407</v>
      </c>
    </row>
    <row r="247" customFormat="false" ht="15" hidden="false" customHeight="false" outlineLevel="0" collapsed="false">
      <c r="A247" s="3" t="s">
        <v>410</v>
      </c>
      <c r="B247" s="3" t="s">
        <v>147</v>
      </c>
      <c r="C247" s="3" t="s">
        <v>90</v>
      </c>
      <c r="D247" s="3" t="s">
        <v>402</v>
      </c>
      <c r="E247" s="3" t="s">
        <v>399</v>
      </c>
      <c r="F247" s="3" t="n">
        <v>290</v>
      </c>
      <c r="G247" s="3" t="n">
        <v>255</v>
      </c>
      <c r="H247" s="3" t="n">
        <v>118</v>
      </c>
      <c r="I247" s="3" t="n">
        <v>246.78</v>
      </c>
      <c r="J247" s="3" t="n">
        <v>42.7</v>
      </c>
      <c r="K247" s="3" t="n">
        <v>20</v>
      </c>
      <c r="L247" s="3" t="s">
        <v>408</v>
      </c>
      <c r="M247" s="3" t="n">
        <v>0</v>
      </c>
      <c r="N247" s="3" t="n">
        <v>40.38</v>
      </c>
      <c r="O247" s="3" t="s">
        <v>395</v>
      </c>
    </row>
    <row r="248" customFormat="false" ht="15" hidden="false" customHeight="false" outlineLevel="0" collapsed="false">
      <c r="A248" s="3" t="s">
        <v>410</v>
      </c>
      <c r="B248" s="3" t="s">
        <v>147</v>
      </c>
      <c r="C248" s="3" t="s">
        <v>92</v>
      </c>
      <c r="D248" s="3" t="s">
        <v>406</v>
      </c>
      <c r="E248" s="3" t="s">
        <v>397</v>
      </c>
      <c r="F248" s="3" t="n">
        <v>403</v>
      </c>
      <c r="G248" s="3" t="n">
        <v>154</v>
      </c>
      <c r="H248" s="3" t="n">
        <v>189</v>
      </c>
      <c r="I248" s="3" t="n">
        <v>166.81</v>
      </c>
      <c r="J248" s="3" t="n">
        <v>89.67</v>
      </c>
      <c r="K248" s="3" t="n">
        <v>15</v>
      </c>
      <c r="L248" s="3" t="s">
        <v>398</v>
      </c>
      <c r="M248" s="3" t="n">
        <v>0</v>
      </c>
      <c r="N248" s="3" t="n">
        <v>88.99</v>
      </c>
      <c r="O248" s="3" t="s">
        <v>395</v>
      </c>
    </row>
    <row r="249" customFormat="false" ht="15" hidden="false" customHeight="false" outlineLevel="0" collapsed="false">
      <c r="A249" s="3" t="s">
        <v>410</v>
      </c>
      <c r="B249" s="3" t="s">
        <v>147</v>
      </c>
      <c r="C249" s="3" t="s">
        <v>94</v>
      </c>
      <c r="D249" s="3" t="s">
        <v>406</v>
      </c>
      <c r="E249" s="3" t="s">
        <v>403</v>
      </c>
      <c r="F249" s="3" t="n">
        <v>311</v>
      </c>
      <c r="G249" s="3" t="n">
        <v>147</v>
      </c>
      <c r="H249" s="3" t="n">
        <v>29</v>
      </c>
      <c r="I249" s="3" t="n">
        <v>154.97</v>
      </c>
      <c r="J249" s="3" t="n">
        <v>65.77</v>
      </c>
      <c r="K249" s="3" t="n">
        <v>0</v>
      </c>
      <c r="L249" s="3" t="s">
        <v>401</v>
      </c>
      <c r="M249" s="3" t="n">
        <v>1</v>
      </c>
      <c r="N249" s="3" t="n">
        <v>61.06</v>
      </c>
      <c r="O249" s="3" t="s">
        <v>407</v>
      </c>
    </row>
    <row r="250" customFormat="false" ht="15" hidden="false" customHeight="false" outlineLevel="0" collapsed="false">
      <c r="A250" s="3" t="s">
        <v>410</v>
      </c>
      <c r="B250" s="3" t="s">
        <v>147</v>
      </c>
      <c r="C250" s="3" t="s">
        <v>96</v>
      </c>
      <c r="D250" s="3" t="s">
        <v>402</v>
      </c>
      <c r="E250" s="3" t="s">
        <v>393</v>
      </c>
      <c r="F250" s="3" t="n">
        <v>448</v>
      </c>
      <c r="G250" s="3" t="n">
        <v>342</v>
      </c>
      <c r="H250" s="3" t="n">
        <v>112</v>
      </c>
      <c r="I250" s="3" t="n">
        <v>357.52</v>
      </c>
      <c r="J250" s="3" t="n">
        <v>95.74</v>
      </c>
      <c r="K250" s="3" t="n">
        <v>10</v>
      </c>
      <c r="L250" s="3" t="s">
        <v>401</v>
      </c>
      <c r="M250" s="3" t="n">
        <v>0</v>
      </c>
      <c r="N250" s="3" t="n">
        <v>94.29</v>
      </c>
      <c r="O250" s="3" t="s">
        <v>400</v>
      </c>
    </row>
    <row r="251" customFormat="false" ht="15" hidden="false" customHeight="false" outlineLevel="0" collapsed="false">
      <c r="A251" s="3" t="s">
        <v>410</v>
      </c>
      <c r="B251" s="3" t="s">
        <v>147</v>
      </c>
      <c r="C251" s="3" t="s">
        <v>98</v>
      </c>
      <c r="D251" s="3" t="s">
        <v>405</v>
      </c>
      <c r="E251" s="3" t="s">
        <v>399</v>
      </c>
      <c r="F251" s="3" t="n">
        <v>277</v>
      </c>
      <c r="G251" s="3" t="n">
        <v>54</v>
      </c>
      <c r="H251" s="3" t="n">
        <v>126</v>
      </c>
      <c r="I251" s="3" t="n">
        <v>48.62</v>
      </c>
      <c r="J251" s="3" t="n">
        <v>98.9</v>
      </c>
      <c r="K251" s="3" t="n">
        <v>0</v>
      </c>
      <c r="L251" s="3" t="s">
        <v>401</v>
      </c>
      <c r="M251" s="3" t="n">
        <v>0</v>
      </c>
      <c r="N251" s="3" t="n">
        <v>97.62</v>
      </c>
      <c r="O251" s="3" t="s">
        <v>400</v>
      </c>
    </row>
    <row r="252" customFormat="false" ht="15" hidden="false" customHeight="false" outlineLevel="0" collapsed="false">
      <c r="A252" s="3" t="s">
        <v>410</v>
      </c>
      <c r="B252" s="3" t="s">
        <v>147</v>
      </c>
      <c r="C252" s="3" t="s">
        <v>100</v>
      </c>
      <c r="D252" s="3" t="s">
        <v>396</v>
      </c>
      <c r="E252" s="3" t="s">
        <v>403</v>
      </c>
      <c r="F252" s="3" t="n">
        <v>421</v>
      </c>
      <c r="G252" s="3" t="n">
        <v>289</v>
      </c>
      <c r="H252" s="3" t="n">
        <v>112</v>
      </c>
      <c r="I252" s="3" t="n">
        <v>292.21</v>
      </c>
      <c r="J252" s="3" t="n">
        <v>41.11</v>
      </c>
      <c r="K252" s="3" t="n">
        <v>15</v>
      </c>
      <c r="L252" s="3" t="s">
        <v>401</v>
      </c>
      <c r="M252" s="3" t="n">
        <v>0</v>
      </c>
      <c r="N252" s="3" t="n">
        <v>36.9</v>
      </c>
      <c r="O252" s="3" t="s">
        <v>400</v>
      </c>
    </row>
    <row r="253" customFormat="false" ht="15" hidden="false" customHeight="false" outlineLevel="0" collapsed="false">
      <c r="A253" s="3" t="s">
        <v>410</v>
      </c>
      <c r="B253" s="3" t="s">
        <v>147</v>
      </c>
      <c r="C253" s="3" t="s">
        <v>102</v>
      </c>
      <c r="D253" s="3" t="s">
        <v>396</v>
      </c>
      <c r="E253" s="3" t="s">
        <v>397</v>
      </c>
      <c r="F253" s="3" t="n">
        <v>241</v>
      </c>
      <c r="G253" s="3" t="n">
        <v>179</v>
      </c>
      <c r="H253" s="3" t="n">
        <v>135</v>
      </c>
      <c r="I253" s="3" t="n">
        <v>198.59</v>
      </c>
      <c r="J253" s="3" t="n">
        <v>42.07</v>
      </c>
      <c r="K253" s="3" t="n">
        <v>0</v>
      </c>
      <c r="L253" s="3" t="s">
        <v>408</v>
      </c>
      <c r="M253" s="3" t="n">
        <v>1</v>
      </c>
      <c r="N253" s="3" t="n">
        <v>37.66</v>
      </c>
      <c r="O253" s="3" t="s">
        <v>404</v>
      </c>
    </row>
    <row r="254" customFormat="false" ht="15" hidden="false" customHeight="false" outlineLevel="0" collapsed="false">
      <c r="A254" s="3" t="s">
        <v>410</v>
      </c>
      <c r="B254" s="3" t="s">
        <v>147</v>
      </c>
      <c r="C254" s="3" t="s">
        <v>104</v>
      </c>
      <c r="D254" s="3" t="s">
        <v>405</v>
      </c>
      <c r="E254" s="3" t="s">
        <v>397</v>
      </c>
      <c r="F254" s="3" t="n">
        <v>186</v>
      </c>
      <c r="G254" s="3" t="n">
        <v>175</v>
      </c>
      <c r="H254" s="3" t="n">
        <v>75</v>
      </c>
      <c r="I254" s="3" t="n">
        <v>177.8</v>
      </c>
      <c r="J254" s="3" t="n">
        <v>95.89</v>
      </c>
      <c r="K254" s="3" t="n">
        <v>0</v>
      </c>
      <c r="L254" s="3" t="s">
        <v>394</v>
      </c>
      <c r="M254" s="3" t="n">
        <v>1</v>
      </c>
      <c r="N254" s="3" t="n">
        <v>96.19</v>
      </c>
      <c r="O254" s="3" t="s">
        <v>395</v>
      </c>
    </row>
    <row r="255" customFormat="false" ht="15" hidden="false" customHeight="false" outlineLevel="0" collapsed="false">
      <c r="A255" s="3" t="s">
        <v>410</v>
      </c>
      <c r="B255" s="3" t="s">
        <v>147</v>
      </c>
      <c r="C255" s="3" t="s">
        <v>106</v>
      </c>
      <c r="D255" s="3" t="s">
        <v>406</v>
      </c>
      <c r="E255" s="3" t="s">
        <v>399</v>
      </c>
      <c r="F255" s="3" t="n">
        <v>413</v>
      </c>
      <c r="G255" s="3" t="n">
        <v>209</v>
      </c>
      <c r="H255" s="3" t="n">
        <v>86</v>
      </c>
      <c r="I255" s="3" t="n">
        <v>220.54</v>
      </c>
      <c r="J255" s="3" t="n">
        <v>84.12</v>
      </c>
      <c r="K255" s="3" t="n">
        <v>5</v>
      </c>
      <c r="L255" s="3" t="s">
        <v>398</v>
      </c>
      <c r="M255" s="3" t="n">
        <v>0</v>
      </c>
      <c r="N255" s="3" t="n">
        <v>89.06</v>
      </c>
      <c r="O255" s="3" t="s">
        <v>407</v>
      </c>
    </row>
    <row r="256" customFormat="false" ht="15" hidden="false" customHeight="false" outlineLevel="0" collapsed="false">
      <c r="A256" s="3" t="s">
        <v>410</v>
      </c>
      <c r="B256" s="3" t="s">
        <v>147</v>
      </c>
      <c r="C256" s="3" t="s">
        <v>108</v>
      </c>
      <c r="D256" s="3" t="s">
        <v>396</v>
      </c>
      <c r="E256" s="3" t="s">
        <v>403</v>
      </c>
      <c r="F256" s="3" t="n">
        <v>112</v>
      </c>
      <c r="G256" s="3" t="n">
        <v>109</v>
      </c>
      <c r="H256" s="3" t="n">
        <v>46</v>
      </c>
      <c r="I256" s="3" t="n">
        <v>113.33</v>
      </c>
      <c r="J256" s="3" t="n">
        <v>71.21</v>
      </c>
      <c r="K256" s="3" t="n">
        <v>20</v>
      </c>
      <c r="L256" s="3" t="s">
        <v>394</v>
      </c>
      <c r="M256" s="3" t="n">
        <v>1</v>
      </c>
      <c r="N256" s="3" t="n">
        <v>74.71</v>
      </c>
      <c r="O256" s="3" t="s">
        <v>400</v>
      </c>
    </row>
    <row r="257" customFormat="false" ht="15" hidden="false" customHeight="false" outlineLevel="0" collapsed="false">
      <c r="A257" s="3" t="s">
        <v>410</v>
      </c>
      <c r="B257" s="3" t="s">
        <v>147</v>
      </c>
      <c r="C257" s="3" t="s">
        <v>110</v>
      </c>
      <c r="D257" s="3" t="s">
        <v>392</v>
      </c>
      <c r="E257" s="3" t="s">
        <v>397</v>
      </c>
      <c r="F257" s="3" t="n">
        <v>268</v>
      </c>
      <c r="G257" s="3" t="n">
        <v>43</v>
      </c>
      <c r="H257" s="3" t="n">
        <v>78</v>
      </c>
      <c r="I257" s="3" t="n">
        <v>49.77</v>
      </c>
      <c r="J257" s="3" t="n">
        <v>49.23</v>
      </c>
      <c r="K257" s="3" t="n">
        <v>0</v>
      </c>
      <c r="L257" s="3" t="s">
        <v>394</v>
      </c>
      <c r="M257" s="3" t="n">
        <v>1</v>
      </c>
      <c r="N257" s="3" t="n">
        <v>47.75</v>
      </c>
      <c r="O257" s="3" t="s">
        <v>407</v>
      </c>
    </row>
    <row r="258" customFormat="false" ht="15" hidden="false" customHeight="false" outlineLevel="0" collapsed="false">
      <c r="A258" s="3" t="s">
        <v>410</v>
      </c>
      <c r="B258" s="3" t="s">
        <v>147</v>
      </c>
      <c r="C258" s="3" t="s">
        <v>112</v>
      </c>
      <c r="D258" s="3" t="s">
        <v>396</v>
      </c>
      <c r="E258" s="3" t="s">
        <v>397</v>
      </c>
      <c r="F258" s="3" t="n">
        <v>347</v>
      </c>
      <c r="G258" s="3" t="n">
        <v>58</v>
      </c>
      <c r="H258" s="3" t="n">
        <v>38</v>
      </c>
      <c r="I258" s="3" t="n">
        <v>49.31</v>
      </c>
      <c r="J258" s="3" t="n">
        <v>21.87</v>
      </c>
      <c r="K258" s="3" t="n">
        <v>10</v>
      </c>
      <c r="L258" s="3" t="s">
        <v>394</v>
      </c>
      <c r="M258" s="3" t="n">
        <v>1</v>
      </c>
      <c r="N258" s="3" t="n">
        <v>25</v>
      </c>
      <c r="O258" s="3" t="s">
        <v>395</v>
      </c>
    </row>
    <row r="259" customFormat="false" ht="15" hidden="false" customHeight="false" outlineLevel="0" collapsed="false">
      <c r="A259" s="3" t="s">
        <v>410</v>
      </c>
      <c r="B259" s="3" t="s">
        <v>147</v>
      </c>
      <c r="C259" s="3" t="s">
        <v>114</v>
      </c>
      <c r="D259" s="3" t="s">
        <v>402</v>
      </c>
      <c r="E259" s="3" t="s">
        <v>397</v>
      </c>
      <c r="F259" s="3" t="n">
        <v>495</v>
      </c>
      <c r="G259" s="3" t="n">
        <v>399</v>
      </c>
      <c r="H259" s="3" t="n">
        <v>86</v>
      </c>
      <c r="I259" s="3" t="n">
        <v>390.1</v>
      </c>
      <c r="J259" s="3" t="n">
        <v>60.83</v>
      </c>
      <c r="K259" s="3" t="n">
        <v>0</v>
      </c>
      <c r="L259" s="3" t="s">
        <v>401</v>
      </c>
      <c r="M259" s="3" t="n">
        <v>1</v>
      </c>
      <c r="N259" s="3" t="n">
        <v>60.34</v>
      </c>
      <c r="O259" s="3" t="s">
        <v>407</v>
      </c>
    </row>
    <row r="260" customFormat="false" ht="15" hidden="false" customHeight="false" outlineLevel="0" collapsed="false">
      <c r="A260" s="3" t="s">
        <v>410</v>
      </c>
      <c r="B260" s="3" t="s">
        <v>147</v>
      </c>
      <c r="C260" s="3" t="s">
        <v>116</v>
      </c>
      <c r="D260" s="3" t="s">
        <v>406</v>
      </c>
      <c r="E260" s="3" t="s">
        <v>399</v>
      </c>
      <c r="F260" s="3" t="n">
        <v>324</v>
      </c>
      <c r="G260" s="3" t="n">
        <v>95</v>
      </c>
      <c r="H260" s="3" t="n">
        <v>145</v>
      </c>
      <c r="I260" s="3" t="n">
        <v>111.3</v>
      </c>
      <c r="J260" s="3" t="n">
        <v>56.78</v>
      </c>
      <c r="K260" s="3" t="n">
        <v>20</v>
      </c>
      <c r="L260" s="3" t="s">
        <v>394</v>
      </c>
      <c r="M260" s="3" t="n">
        <v>0</v>
      </c>
      <c r="N260" s="3" t="n">
        <v>60.75</v>
      </c>
      <c r="O260" s="3" t="s">
        <v>404</v>
      </c>
    </row>
    <row r="261" customFormat="false" ht="15" hidden="false" customHeight="false" outlineLevel="0" collapsed="false">
      <c r="A261" s="3" t="s">
        <v>410</v>
      </c>
      <c r="B261" s="3" t="s">
        <v>147</v>
      </c>
      <c r="C261" s="3" t="s">
        <v>118</v>
      </c>
      <c r="D261" s="3" t="s">
        <v>406</v>
      </c>
      <c r="E261" s="3" t="s">
        <v>399</v>
      </c>
      <c r="F261" s="3" t="n">
        <v>330</v>
      </c>
      <c r="G261" s="3" t="n">
        <v>296</v>
      </c>
      <c r="H261" s="3" t="n">
        <v>138</v>
      </c>
      <c r="I261" s="3" t="n">
        <v>297.58</v>
      </c>
      <c r="J261" s="3" t="n">
        <v>76.12</v>
      </c>
      <c r="K261" s="3" t="n">
        <v>5</v>
      </c>
      <c r="L261" s="3" t="s">
        <v>408</v>
      </c>
      <c r="M261" s="3" t="n">
        <v>0</v>
      </c>
      <c r="N261" s="3" t="n">
        <v>77.55</v>
      </c>
      <c r="O261" s="3" t="s">
        <v>407</v>
      </c>
    </row>
    <row r="262" customFormat="false" ht="15" hidden="false" customHeight="false" outlineLevel="0" collapsed="false">
      <c r="A262" s="3" t="s">
        <v>410</v>
      </c>
      <c r="B262" s="3" t="s">
        <v>147</v>
      </c>
      <c r="C262" s="3" t="s">
        <v>120</v>
      </c>
      <c r="D262" s="3" t="s">
        <v>402</v>
      </c>
      <c r="E262" s="3" t="s">
        <v>403</v>
      </c>
      <c r="F262" s="3" t="n">
        <v>297</v>
      </c>
      <c r="G262" s="3" t="n">
        <v>105</v>
      </c>
      <c r="H262" s="3" t="n">
        <v>66</v>
      </c>
      <c r="I262" s="3" t="n">
        <v>104.66</v>
      </c>
      <c r="J262" s="3" t="n">
        <v>98.9</v>
      </c>
      <c r="K262" s="3" t="n">
        <v>10</v>
      </c>
      <c r="L262" s="3" t="s">
        <v>398</v>
      </c>
      <c r="M262" s="3" t="n">
        <v>0</v>
      </c>
      <c r="N262" s="3" t="n">
        <v>96.55</v>
      </c>
      <c r="O262" s="3" t="s">
        <v>404</v>
      </c>
    </row>
    <row r="263" customFormat="false" ht="15" hidden="false" customHeight="false" outlineLevel="0" collapsed="false">
      <c r="A263" s="3" t="s">
        <v>410</v>
      </c>
      <c r="B263" s="3" t="s">
        <v>147</v>
      </c>
      <c r="C263" s="3" t="s">
        <v>122</v>
      </c>
      <c r="D263" s="3" t="s">
        <v>406</v>
      </c>
      <c r="E263" s="3" t="s">
        <v>403</v>
      </c>
      <c r="F263" s="3" t="n">
        <v>169</v>
      </c>
      <c r="G263" s="3" t="n">
        <v>103</v>
      </c>
      <c r="H263" s="3" t="n">
        <v>47</v>
      </c>
      <c r="I263" s="3" t="n">
        <v>107.67</v>
      </c>
      <c r="J263" s="3" t="n">
        <v>46.24</v>
      </c>
      <c r="K263" s="3" t="n">
        <v>5</v>
      </c>
      <c r="L263" s="3" t="s">
        <v>401</v>
      </c>
      <c r="M263" s="3" t="n">
        <v>0</v>
      </c>
      <c r="N263" s="3" t="n">
        <v>47.84</v>
      </c>
      <c r="O263" s="3" t="s">
        <v>395</v>
      </c>
    </row>
    <row r="264" customFormat="false" ht="15" hidden="false" customHeight="false" outlineLevel="0" collapsed="false">
      <c r="A264" s="3" t="s">
        <v>410</v>
      </c>
      <c r="B264" s="3" t="s">
        <v>147</v>
      </c>
      <c r="C264" s="3" t="s">
        <v>124</v>
      </c>
      <c r="D264" s="3" t="s">
        <v>396</v>
      </c>
      <c r="E264" s="3" t="s">
        <v>397</v>
      </c>
      <c r="F264" s="3" t="n">
        <v>257</v>
      </c>
      <c r="G264" s="3" t="n">
        <v>131</v>
      </c>
      <c r="H264" s="3" t="n">
        <v>103</v>
      </c>
      <c r="I264" s="3" t="n">
        <v>123.65</v>
      </c>
      <c r="J264" s="3" t="n">
        <v>16.35</v>
      </c>
      <c r="K264" s="3" t="n">
        <v>15</v>
      </c>
      <c r="L264" s="3" t="s">
        <v>401</v>
      </c>
      <c r="M264" s="3" t="n">
        <v>0</v>
      </c>
      <c r="N264" s="3" t="n">
        <v>19.59</v>
      </c>
      <c r="O264" s="3" t="s">
        <v>395</v>
      </c>
    </row>
    <row r="265" customFormat="false" ht="15" hidden="false" customHeight="false" outlineLevel="0" collapsed="false">
      <c r="A265" s="3" t="s">
        <v>410</v>
      </c>
      <c r="B265" s="3" t="s">
        <v>168</v>
      </c>
      <c r="C265" s="3" t="s">
        <v>86</v>
      </c>
      <c r="D265" s="3" t="s">
        <v>392</v>
      </c>
      <c r="E265" s="3" t="s">
        <v>403</v>
      </c>
      <c r="F265" s="3" t="n">
        <v>175</v>
      </c>
      <c r="G265" s="3" t="n">
        <v>66</v>
      </c>
      <c r="H265" s="3" t="n">
        <v>140</v>
      </c>
      <c r="I265" s="3" t="n">
        <v>56.84</v>
      </c>
      <c r="J265" s="3" t="n">
        <v>83.63</v>
      </c>
      <c r="K265" s="3" t="n">
        <v>15</v>
      </c>
      <c r="L265" s="3" t="s">
        <v>398</v>
      </c>
      <c r="M265" s="3" t="n">
        <v>0</v>
      </c>
      <c r="N265" s="3" t="n">
        <v>79.9</v>
      </c>
      <c r="O265" s="3" t="s">
        <v>400</v>
      </c>
    </row>
    <row r="266" customFormat="false" ht="15" hidden="false" customHeight="false" outlineLevel="0" collapsed="false">
      <c r="A266" s="3" t="s">
        <v>410</v>
      </c>
      <c r="B266" s="3" t="s">
        <v>168</v>
      </c>
      <c r="C266" s="3" t="s">
        <v>88</v>
      </c>
      <c r="D266" s="3" t="s">
        <v>392</v>
      </c>
      <c r="E266" s="3" t="s">
        <v>399</v>
      </c>
      <c r="F266" s="3" t="n">
        <v>228</v>
      </c>
      <c r="G266" s="3" t="n">
        <v>163</v>
      </c>
      <c r="H266" s="3" t="n">
        <v>161</v>
      </c>
      <c r="I266" s="3" t="n">
        <v>161.48</v>
      </c>
      <c r="J266" s="3" t="n">
        <v>81.57</v>
      </c>
      <c r="K266" s="3" t="n">
        <v>0</v>
      </c>
      <c r="L266" s="3" t="s">
        <v>401</v>
      </c>
      <c r="M266" s="3" t="n">
        <v>1</v>
      </c>
      <c r="N266" s="3" t="n">
        <v>77.66</v>
      </c>
      <c r="O266" s="3" t="s">
        <v>404</v>
      </c>
    </row>
    <row r="267" customFormat="false" ht="15" hidden="false" customHeight="false" outlineLevel="0" collapsed="false">
      <c r="A267" s="3" t="s">
        <v>410</v>
      </c>
      <c r="B267" s="3" t="s">
        <v>168</v>
      </c>
      <c r="C267" s="3" t="s">
        <v>90</v>
      </c>
      <c r="D267" s="3" t="s">
        <v>406</v>
      </c>
      <c r="E267" s="3" t="s">
        <v>397</v>
      </c>
      <c r="F267" s="3" t="n">
        <v>188</v>
      </c>
      <c r="G267" s="3" t="n">
        <v>98</v>
      </c>
      <c r="H267" s="3" t="n">
        <v>176</v>
      </c>
      <c r="I267" s="3" t="n">
        <v>98.87</v>
      </c>
      <c r="J267" s="3" t="n">
        <v>44.68</v>
      </c>
      <c r="K267" s="3" t="n">
        <v>10</v>
      </c>
      <c r="L267" s="3" t="s">
        <v>408</v>
      </c>
      <c r="M267" s="3" t="n">
        <v>0</v>
      </c>
      <c r="N267" s="3" t="n">
        <v>42.55</v>
      </c>
      <c r="O267" s="3" t="s">
        <v>407</v>
      </c>
    </row>
    <row r="268" customFormat="false" ht="15" hidden="false" customHeight="false" outlineLevel="0" collapsed="false">
      <c r="A268" s="3" t="s">
        <v>410</v>
      </c>
      <c r="B268" s="3" t="s">
        <v>168</v>
      </c>
      <c r="C268" s="3" t="s">
        <v>92</v>
      </c>
      <c r="D268" s="3" t="s">
        <v>392</v>
      </c>
      <c r="E268" s="3" t="s">
        <v>403</v>
      </c>
      <c r="F268" s="3" t="n">
        <v>211</v>
      </c>
      <c r="G268" s="3" t="n">
        <v>150</v>
      </c>
      <c r="H268" s="3" t="n">
        <v>20</v>
      </c>
      <c r="I268" s="3" t="n">
        <v>167.75</v>
      </c>
      <c r="J268" s="3" t="n">
        <v>60.11</v>
      </c>
      <c r="K268" s="3" t="n">
        <v>0</v>
      </c>
      <c r="L268" s="3" t="s">
        <v>394</v>
      </c>
      <c r="M268" s="3" t="n">
        <v>1</v>
      </c>
      <c r="N268" s="3" t="n">
        <v>62.3</v>
      </c>
      <c r="O268" s="3" t="s">
        <v>400</v>
      </c>
    </row>
    <row r="269" customFormat="false" ht="15" hidden="false" customHeight="false" outlineLevel="0" collapsed="false">
      <c r="A269" s="3" t="s">
        <v>410</v>
      </c>
      <c r="B269" s="3" t="s">
        <v>168</v>
      </c>
      <c r="C269" s="3" t="s">
        <v>94</v>
      </c>
      <c r="D269" s="3" t="s">
        <v>405</v>
      </c>
      <c r="E269" s="3" t="s">
        <v>393</v>
      </c>
      <c r="F269" s="3" t="n">
        <v>149</v>
      </c>
      <c r="G269" s="3" t="n">
        <v>15</v>
      </c>
      <c r="H269" s="3" t="n">
        <v>60</v>
      </c>
      <c r="I269" s="3" t="n">
        <v>21.91</v>
      </c>
      <c r="J269" s="3" t="n">
        <v>24.63</v>
      </c>
      <c r="K269" s="3" t="n">
        <v>20</v>
      </c>
      <c r="L269" s="3" t="s">
        <v>408</v>
      </c>
      <c r="M269" s="3" t="n">
        <v>0</v>
      </c>
      <c r="N269" s="3" t="n">
        <v>27.97</v>
      </c>
      <c r="O269" s="3" t="s">
        <v>404</v>
      </c>
    </row>
    <row r="270" customFormat="false" ht="15" hidden="false" customHeight="false" outlineLevel="0" collapsed="false">
      <c r="A270" s="3" t="s">
        <v>410</v>
      </c>
      <c r="B270" s="3" t="s">
        <v>168</v>
      </c>
      <c r="C270" s="3" t="s">
        <v>96</v>
      </c>
      <c r="D270" s="3" t="s">
        <v>402</v>
      </c>
      <c r="E270" s="3" t="s">
        <v>393</v>
      </c>
      <c r="F270" s="3" t="n">
        <v>383</v>
      </c>
      <c r="G270" s="3" t="n">
        <v>36</v>
      </c>
      <c r="H270" s="3" t="n">
        <v>75</v>
      </c>
      <c r="I270" s="3" t="n">
        <v>26.89</v>
      </c>
      <c r="J270" s="3" t="n">
        <v>36.31</v>
      </c>
      <c r="K270" s="3" t="n">
        <v>5</v>
      </c>
      <c r="L270" s="3" t="s">
        <v>401</v>
      </c>
      <c r="M270" s="3" t="n">
        <v>1</v>
      </c>
      <c r="N270" s="3" t="n">
        <v>34.82</v>
      </c>
      <c r="O270" s="3" t="s">
        <v>395</v>
      </c>
    </row>
    <row r="271" customFormat="false" ht="15" hidden="false" customHeight="false" outlineLevel="0" collapsed="false">
      <c r="A271" s="3" t="s">
        <v>410</v>
      </c>
      <c r="B271" s="3" t="s">
        <v>168</v>
      </c>
      <c r="C271" s="3" t="s">
        <v>98</v>
      </c>
      <c r="D271" s="3" t="s">
        <v>402</v>
      </c>
      <c r="E271" s="3" t="s">
        <v>403</v>
      </c>
      <c r="F271" s="3" t="n">
        <v>478</v>
      </c>
      <c r="G271" s="3" t="n">
        <v>303</v>
      </c>
      <c r="H271" s="3" t="n">
        <v>153</v>
      </c>
      <c r="I271" s="3" t="n">
        <v>307.7</v>
      </c>
      <c r="J271" s="3" t="n">
        <v>11.36</v>
      </c>
      <c r="K271" s="3" t="n">
        <v>15</v>
      </c>
      <c r="L271" s="3" t="s">
        <v>401</v>
      </c>
      <c r="M271" s="3" t="n">
        <v>1</v>
      </c>
      <c r="N271" s="3" t="n">
        <v>15.64</v>
      </c>
      <c r="O271" s="3" t="s">
        <v>395</v>
      </c>
    </row>
    <row r="272" customFormat="false" ht="15" hidden="false" customHeight="false" outlineLevel="0" collapsed="false">
      <c r="A272" s="3" t="s">
        <v>410</v>
      </c>
      <c r="B272" s="3" t="s">
        <v>168</v>
      </c>
      <c r="C272" s="3" t="s">
        <v>100</v>
      </c>
      <c r="D272" s="3" t="s">
        <v>402</v>
      </c>
      <c r="E272" s="3" t="s">
        <v>403</v>
      </c>
      <c r="F272" s="3" t="n">
        <v>217</v>
      </c>
      <c r="G272" s="3" t="n">
        <v>209</v>
      </c>
      <c r="H272" s="3" t="n">
        <v>35</v>
      </c>
      <c r="I272" s="3" t="n">
        <v>215.04</v>
      </c>
      <c r="J272" s="3" t="n">
        <v>63.1</v>
      </c>
      <c r="K272" s="3" t="n">
        <v>10</v>
      </c>
      <c r="L272" s="3" t="s">
        <v>394</v>
      </c>
      <c r="M272" s="3" t="n">
        <v>1</v>
      </c>
      <c r="N272" s="3" t="n">
        <v>65.17</v>
      </c>
      <c r="O272" s="3" t="s">
        <v>404</v>
      </c>
    </row>
    <row r="273" customFormat="false" ht="15" hidden="false" customHeight="false" outlineLevel="0" collapsed="false">
      <c r="A273" s="3" t="s">
        <v>410</v>
      </c>
      <c r="B273" s="3" t="s">
        <v>168</v>
      </c>
      <c r="C273" s="3" t="s">
        <v>102</v>
      </c>
      <c r="D273" s="3" t="s">
        <v>402</v>
      </c>
      <c r="E273" s="3" t="s">
        <v>399</v>
      </c>
      <c r="F273" s="3" t="n">
        <v>73</v>
      </c>
      <c r="G273" s="3" t="n">
        <v>69</v>
      </c>
      <c r="H273" s="3" t="n">
        <v>65</v>
      </c>
      <c r="I273" s="3" t="n">
        <v>68.51</v>
      </c>
      <c r="J273" s="3" t="n">
        <v>30.82</v>
      </c>
      <c r="K273" s="3" t="n">
        <v>20</v>
      </c>
      <c r="L273" s="3" t="s">
        <v>398</v>
      </c>
      <c r="M273" s="3" t="n">
        <v>0</v>
      </c>
      <c r="N273" s="3" t="n">
        <v>35.26</v>
      </c>
      <c r="O273" s="3" t="s">
        <v>404</v>
      </c>
    </row>
    <row r="274" customFormat="false" ht="15" hidden="false" customHeight="false" outlineLevel="0" collapsed="false">
      <c r="A274" s="3" t="s">
        <v>410</v>
      </c>
      <c r="B274" s="3" t="s">
        <v>168</v>
      </c>
      <c r="C274" s="3" t="s">
        <v>104</v>
      </c>
      <c r="D274" s="3" t="s">
        <v>402</v>
      </c>
      <c r="E274" s="3" t="s">
        <v>399</v>
      </c>
      <c r="F274" s="3" t="n">
        <v>467</v>
      </c>
      <c r="G274" s="3" t="n">
        <v>143</v>
      </c>
      <c r="H274" s="3" t="n">
        <v>183</v>
      </c>
      <c r="I274" s="3" t="n">
        <v>139.44</v>
      </c>
      <c r="J274" s="3" t="n">
        <v>23.73</v>
      </c>
      <c r="K274" s="3" t="n">
        <v>0</v>
      </c>
      <c r="L274" s="3" t="s">
        <v>408</v>
      </c>
      <c r="M274" s="3" t="n">
        <v>0</v>
      </c>
      <c r="N274" s="3" t="n">
        <v>21.84</v>
      </c>
      <c r="O274" s="3" t="s">
        <v>404</v>
      </c>
    </row>
    <row r="275" customFormat="false" ht="15" hidden="false" customHeight="false" outlineLevel="0" collapsed="false">
      <c r="A275" s="3" t="s">
        <v>410</v>
      </c>
      <c r="B275" s="3" t="s">
        <v>168</v>
      </c>
      <c r="C275" s="3" t="s">
        <v>106</v>
      </c>
      <c r="D275" s="3" t="s">
        <v>406</v>
      </c>
      <c r="E275" s="3" t="s">
        <v>399</v>
      </c>
      <c r="F275" s="3" t="n">
        <v>353</v>
      </c>
      <c r="G275" s="3" t="n">
        <v>239</v>
      </c>
      <c r="H275" s="3" t="n">
        <v>44</v>
      </c>
      <c r="I275" s="3" t="n">
        <v>255.26</v>
      </c>
      <c r="J275" s="3" t="n">
        <v>29.49</v>
      </c>
      <c r="K275" s="3" t="n">
        <v>5</v>
      </c>
      <c r="L275" s="3" t="s">
        <v>398</v>
      </c>
      <c r="M275" s="3" t="n">
        <v>0</v>
      </c>
      <c r="N275" s="3" t="n">
        <v>31.68</v>
      </c>
      <c r="O275" s="3" t="s">
        <v>404</v>
      </c>
    </row>
    <row r="276" customFormat="false" ht="15" hidden="false" customHeight="false" outlineLevel="0" collapsed="false">
      <c r="A276" s="3" t="s">
        <v>410</v>
      </c>
      <c r="B276" s="3" t="s">
        <v>168</v>
      </c>
      <c r="C276" s="3" t="s">
        <v>108</v>
      </c>
      <c r="D276" s="3" t="s">
        <v>392</v>
      </c>
      <c r="E276" s="3" t="s">
        <v>393</v>
      </c>
      <c r="F276" s="3" t="n">
        <v>471</v>
      </c>
      <c r="G276" s="3" t="n">
        <v>192</v>
      </c>
      <c r="H276" s="3" t="n">
        <v>115</v>
      </c>
      <c r="I276" s="3" t="n">
        <v>188.72</v>
      </c>
      <c r="J276" s="3" t="n">
        <v>74.42</v>
      </c>
      <c r="K276" s="3" t="n">
        <v>15</v>
      </c>
      <c r="L276" s="3" t="s">
        <v>401</v>
      </c>
      <c r="M276" s="3" t="n">
        <v>1</v>
      </c>
      <c r="N276" s="3" t="n">
        <v>75.61</v>
      </c>
      <c r="O276" s="3" t="s">
        <v>395</v>
      </c>
    </row>
    <row r="277" customFormat="false" ht="15" hidden="false" customHeight="false" outlineLevel="0" collapsed="false">
      <c r="A277" s="3" t="s">
        <v>410</v>
      </c>
      <c r="B277" s="3" t="s">
        <v>168</v>
      </c>
      <c r="C277" s="3" t="s">
        <v>110</v>
      </c>
      <c r="D277" s="3" t="s">
        <v>406</v>
      </c>
      <c r="E277" s="3" t="s">
        <v>397</v>
      </c>
      <c r="F277" s="3" t="n">
        <v>129</v>
      </c>
      <c r="G277" s="3" t="n">
        <v>23</v>
      </c>
      <c r="H277" s="3" t="n">
        <v>92</v>
      </c>
      <c r="I277" s="3" t="n">
        <v>38.86</v>
      </c>
      <c r="J277" s="3" t="n">
        <v>58.3</v>
      </c>
      <c r="K277" s="3" t="n">
        <v>20</v>
      </c>
      <c r="L277" s="3" t="s">
        <v>394</v>
      </c>
      <c r="M277" s="3" t="n">
        <v>1</v>
      </c>
      <c r="N277" s="3" t="n">
        <v>59.12</v>
      </c>
      <c r="O277" s="3" t="s">
        <v>395</v>
      </c>
    </row>
    <row r="278" customFormat="false" ht="15" hidden="false" customHeight="false" outlineLevel="0" collapsed="false">
      <c r="A278" s="3" t="s">
        <v>410</v>
      </c>
      <c r="B278" s="3" t="s">
        <v>168</v>
      </c>
      <c r="C278" s="3" t="s">
        <v>112</v>
      </c>
      <c r="D278" s="3" t="s">
        <v>392</v>
      </c>
      <c r="E278" s="3" t="s">
        <v>403</v>
      </c>
      <c r="F278" s="3" t="n">
        <v>301</v>
      </c>
      <c r="G278" s="3" t="n">
        <v>165</v>
      </c>
      <c r="H278" s="3" t="n">
        <v>34</v>
      </c>
      <c r="I278" s="3" t="n">
        <v>160.46</v>
      </c>
      <c r="J278" s="3" t="n">
        <v>60.58</v>
      </c>
      <c r="K278" s="3" t="n">
        <v>0</v>
      </c>
      <c r="L278" s="3" t="s">
        <v>398</v>
      </c>
      <c r="M278" s="3" t="n">
        <v>1</v>
      </c>
      <c r="N278" s="3" t="n">
        <v>58.02</v>
      </c>
      <c r="O278" s="3" t="s">
        <v>404</v>
      </c>
    </row>
    <row r="279" customFormat="false" ht="15" hidden="false" customHeight="false" outlineLevel="0" collapsed="false">
      <c r="A279" s="3" t="s">
        <v>410</v>
      </c>
      <c r="B279" s="3" t="s">
        <v>168</v>
      </c>
      <c r="C279" s="3" t="s">
        <v>114</v>
      </c>
      <c r="D279" s="3" t="s">
        <v>392</v>
      </c>
      <c r="E279" s="3" t="s">
        <v>397</v>
      </c>
      <c r="F279" s="3" t="n">
        <v>423</v>
      </c>
      <c r="G279" s="3" t="n">
        <v>85</v>
      </c>
      <c r="H279" s="3" t="n">
        <v>73</v>
      </c>
      <c r="I279" s="3" t="n">
        <v>95.5</v>
      </c>
      <c r="J279" s="3" t="n">
        <v>73.48</v>
      </c>
      <c r="K279" s="3" t="n">
        <v>0</v>
      </c>
      <c r="L279" s="3" t="s">
        <v>394</v>
      </c>
      <c r="M279" s="3" t="n">
        <v>0</v>
      </c>
      <c r="N279" s="3" t="n">
        <v>77</v>
      </c>
      <c r="O279" s="3" t="s">
        <v>407</v>
      </c>
    </row>
    <row r="280" customFormat="false" ht="15" hidden="false" customHeight="false" outlineLevel="0" collapsed="false">
      <c r="A280" s="3" t="s">
        <v>410</v>
      </c>
      <c r="B280" s="3" t="s">
        <v>168</v>
      </c>
      <c r="C280" s="3" t="s">
        <v>116</v>
      </c>
      <c r="D280" s="3" t="s">
        <v>392</v>
      </c>
      <c r="E280" s="3" t="s">
        <v>403</v>
      </c>
      <c r="F280" s="3" t="n">
        <v>385</v>
      </c>
      <c r="G280" s="3" t="n">
        <v>79</v>
      </c>
      <c r="H280" s="3" t="n">
        <v>130</v>
      </c>
      <c r="I280" s="3" t="n">
        <v>86.62</v>
      </c>
      <c r="J280" s="3" t="n">
        <v>16.18</v>
      </c>
      <c r="K280" s="3" t="n">
        <v>10</v>
      </c>
      <c r="L280" s="3" t="s">
        <v>401</v>
      </c>
      <c r="M280" s="3" t="n">
        <v>0</v>
      </c>
      <c r="N280" s="3" t="n">
        <v>18.35</v>
      </c>
      <c r="O280" s="3" t="s">
        <v>407</v>
      </c>
    </row>
    <row r="281" customFormat="false" ht="15" hidden="false" customHeight="false" outlineLevel="0" collapsed="false">
      <c r="A281" s="3" t="s">
        <v>410</v>
      </c>
      <c r="B281" s="3" t="s">
        <v>168</v>
      </c>
      <c r="C281" s="3" t="s">
        <v>118</v>
      </c>
      <c r="D281" s="3" t="s">
        <v>396</v>
      </c>
      <c r="E281" s="3" t="s">
        <v>393</v>
      </c>
      <c r="F281" s="3" t="n">
        <v>74</v>
      </c>
      <c r="G281" s="3" t="n">
        <v>33</v>
      </c>
      <c r="H281" s="3" t="n">
        <v>29</v>
      </c>
      <c r="I281" s="3" t="n">
        <v>43.64</v>
      </c>
      <c r="J281" s="3" t="n">
        <v>38.52</v>
      </c>
      <c r="K281" s="3" t="n">
        <v>15</v>
      </c>
      <c r="L281" s="3" t="s">
        <v>394</v>
      </c>
      <c r="M281" s="3" t="n">
        <v>0</v>
      </c>
      <c r="N281" s="3" t="n">
        <v>39.57</v>
      </c>
      <c r="O281" s="3" t="s">
        <v>407</v>
      </c>
    </row>
    <row r="282" customFormat="false" ht="15" hidden="false" customHeight="false" outlineLevel="0" collapsed="false">
      <c r="A282" s="3" t="s">
        <v>410</v>
      </c>
      <c r="B282" s="3" t="s">
        <v>168</v>
      </c>
      <c r="C282" s="3" t="s">
        <v>120</v>
      </c>
      <c r="D282" s="3" t="s">
        <v>402</v>
      </c>
      <c r="E282" s="3" t="s">
        <v>397</v>
      </c>
      <c r="F282" s="3" t="n">
        <v>467</v>
      </c>
      <c r="G282" s="3" t="n">
        <v>270</v>
      </c>
      <c r="H282" s="3" t="n">
        <v>108</v>
      </c>
      <c r="I282" s="3" t="n">
        <v>270.37</v>
      </c>
      <c r="J282" s="3" t="n">
        <v>46.93</v>
      </c>
      <c r="K282" s="3" t="n">
        <v>0</v>
      </c>
      <c r="L282" s="3" t="s">
        <v>408</v>
      </c>
      <c r="M282" s="3" t="n">
        <v>0</v>
      </c>
      <c r="N282" s="3" t="n">
        <v>46.83</v>
      </c>
      <c r="O282" s="3" t="s">
        <v>404</v>
      </c>
    </row>
    <row r="283" customFormat="false" ht="15" hidden="false" customHeight="false" outlineLevel="0" collapsed="false">
      <c r="A283" s="3" t="s">
        <v>410</v>
      </c>
      <c r="B283" s="3" t="s">
        <v>168</v>
      </c>
      <c r="C283" s="3" t="s">
        <v>122</v>
      </c>
      <c r="D283" s="3" t="s">
        <v>396</v>
      </c>
      <c r="E283" s="3" t="s">
        <v>393</v>
      </c>
      <c r="F283" s="3" t="n">
        <v>140</v>
      </c>
      <c r="G283" s="3" t="n">
        <v>1</v>
      </c>
      <c r="H283" s="3" t="n">
        <v>47</v>
      </c>
      <c r="I283" s="3" t="n">
        <v>-3.91</v>
      </c>
      <c r="J283" s="3" t="n">
        <v>80.41</v>
      </c>
      <c r="K283" s="3" t="n">
        <v>0</v>
      </c>
      <c r="L283" s="3" t="s">
        <v>408</v>
      </c>
      <c r="M283" s="3" t="n">
        <v>0</v>
      </c>
      <c r="N283" s="3" t="n">
        <v>76.9</v>
      </c>
      <c r="O283" s="3" t="s">
        <v>404</v>
      </c>
    </row>
    <row r="284" customFormat="false" ht="15" hidden="false" customHeight="false" outlineLevel="0" collapsed="false">
      <c r="A284" s="3" t="s">
        <v>410</v>
      </c>
      <c r="B284" s="3" t="s">
        <v>168</v>
      </c>
      <c r="C284" s="3" t="s">
        <v>124</v>
      </c>
      <c r="D284" s="3" t="s">
        <v>406</v>
      </c>
      <c r="E284" s="3" t="s">
        <v>403</v>
      </c>
      <c r="F284" s="3" t="n">
        <v>197</v>
      </c>
      <c r="G284" s="3" t="n">
        <v>149</v>
      </c>
      <c r="H284" s="3" t="n">
        <v>134</v>
      </c>
      <c r="I284" s="3" t="n">
        <v>161.2</v>
      </c>
      <c r="J284" s="3" t="n">
        <v>95.33</v>
      </c>
      <c r="K284" s="3" t="n">
        <v>20</v>
      </c>
      <c r="L284" s="3" t="s">
        <v>401</v>
      </c>
      <c r="M284" s="3" t="n">
        <v>0</v>
      </c>
      <c r="N284" s="3" t="n">
        <v>97.42</v>
      </c>
      <c r="O284" s="3" t="s">
        <v>404</v>
      </c>
    </row>
    <row r="285" customFormat="false" ht="15" hidden="false" customHeight="false" outlineLevel="0" collapsed="false">
      <c r="A285" s="3" t="s">
        <v>410</v>
      </c>
      <c r="B285" s="3" t="s">
        <v>189</v>
      </c>
      <c r="C285" s="3" t="s">
        <v>86</v>
      </c>
      <c r="D285" s="3" t="s">
        <v>392</v>
      </c>
      <c r="E285" s="3" t="s">
        <v>393</v>
      </c>
      <c r="F285" s="3" t="n">
        <v>159</v>
      </c>
      <c r="G285" s="3" t="n">
        <v>3</v>
      </c>
      <c r="H285" s="3" t="n">
        <v>145</v>
      </c>
      <c r="I285" s="3" t="n">
        <v>18.12</v>
      </c>
      <c r="J285" s="3" t="n">
        <v>36.3</v>
      </c>
      <c r="K285" s="3" t="n">
        <v>0</v>
      </c>
      <c r="L285" s="3" t="s">
        <v>408</v>
      </c>
      <c r="M285" s="3" t="n">
        <v>0</v>
      </c>
      <c r="N285" s="3" t="n">
        <v>34.96</v>
      </c>
      <c r="O285" s="3" t="s">
        <v>404</v>
      </c>
    </row>
    <row r="286" customFormat="false" ht="15" hidden="false" customHeight="false" outlineLevel="0" collapsed="false">
      <c r="A286" s="3" t="s">
        <v>410</v>
      </c>
      <c r="B286" s="3" t="s">
        <v>189</v>
      </c>
      <c r="C286" s="3" t="s">
        <v>88</v>
      </c>
      <c r="D286" s="3" t="s">
        <v>402</v>
      </c>
      <c r="E286" s="3" t="s">
        <v>393</v>
      </c>
      <c r="F286" s="3" t="n">
        <v>322</v>
      </c>
      <c r="G286" s="3" t="n">
        <v>59</v>
      </c>
      <c r="H286" s="3" t="n">
        <v>111</v>
      </c>
      <c r="I286" s="3" t="n">
        <v>78.35</v>
      </c>
      <c r="J286" s="3" t="n">
        <v>82.08</v>
      </c>
      <c r="K286" s="3" t="n">
        <v>10</v>
      </c>
      <c r="L286" s="3" t="s">
        <v>398</v>
      </c>
      <c r="M286" s="3" t="n">
        <v>1</v>
      </c>
      <c r="N286" s="3" t="n">
        <v>84.13</v>
      </c>
      <c r="O286" s="3" t="s">
        <v>407</v>
      </c>
    </row>
    <row r="287" customFormat="false" ht="15" hidden="false" customHeight="false" outlineLevel="0" collapsed="false">
      <c r="A287" s="3" t="s">
        <v>410</v>
      </c>
      <c r="B287" s="3" t="s">
        <v>189</v>
      </c>
      <c r="C287" s="3" t="s">
        <v>90</v>
      </c>
      <c r="D287" s="3" t="s">
        <v>392</v>
      </c>
      <c r="E287" s="3" t="s">
        <v>403</v>
      </c>
      <c r="F287" s="3" t="n">
        <v>106</v>
      </c>
      <c r="G287" s="3" t="n">
        <v>15</v>
      </c>
      <c r="H287" s="3" t="n">
        <v>101</v>
      </c>
      <c r="I287" s="3" t="n">
        <v>25.13</v>
      </c>
      <c r="J287" s="3" t="n">
        <v>46.4</v>
      </c>
      <c r="K287" s="3" t="n">
        <v>20</v>
      </c>
      <c r="L287" s="3" t="s">
        <v>408</v>
      </c>
      <c r="M287" s="3" t="n">
        <v>0</v>
      </c>
      <c r="N287" s="3" t="n">
        <v>49.42</v>
      </c>
      <c r="O287" s="3" t="s">
        <v>400</v>
      </c>
    </row>
    <row r="288" customFormat="false" ht="15" hidden="false" customHeight="false" outlineLevel="0" collapsed="false">
      <c r="A288" s="3" t="s">
        <v>410</v>
      </c>
      <c r="B288" s="3" t="s">
        <v>189</v>
      </c>
      <c r="C288" s="3" t="s">
        <v>92</v>
      </c>
      <c r="D288" s="3" t="s">
        <v>392</v>
      </c>
      <c r="E288" s="3" t="s">
        <v>397</v>
      </c>
      <c r="F288" s="3" t="n">
        <v>475</v>
      </c>
      <c r="G288" s="3" t="n">
        <v>351</v>
      </c>
      <c r="H288" s="3" t="n">
        <v>132</v>
      </c>
      <c r="I288" s="3" t="n">
        <v>358.12</v>
      </c>
      <c r="J288" s="3" t="n">
        <v>59.76</v>
      </c>
      <c r="K288" s="3" t="n">
        <v>5</v>
      </c>
      <c r="L288" s="3" t="s">
        <v>401</v>
      </c>
      <c r="M288" s="3" t="n">
        <v>0</v>
      </c>
      <c r="N288" s="3" t="n">
        <v>57.14</v>
      </c>
      <c r="O288" s="3" t="s">
        <v>407</v>
      </c>
    </row>
    <row r="289" customFormat="false" ht="15" hidden="false" customHeight="false" outlineLevel="0" collapsed="false">
      <c r="A289" s="3" t="s">
        <v>410</v>
      </c>
      <c r="B289" s="3" t="s">
        <v>189</v>
      </c>
      <c r="C289" s="3" t="s">
        <v>94</v>
      </c>
      <c r="D289" s="3" t="s">
        <v>392</v>
      </c>
      <c r="E289" s="3" t="s">
        <v>393</v>
      </c>
      <c r="F289" s="3" t="n">
        <v>83</v>
      </c>
      <c r="G289" s="3" t="n">
        <v>66</v>
      </c>
      <c r="H289" s="3" t="n">
        <v>57</v>
      </c>
      <c r="I289" s="3" t="n">
        <v>63.37</v>
      </c>
      <c r="J289" s="3" t="n">
        <v>60.35</v>
      </c>
      <c r="K289" s="3" t="n">
        <v>20</v>
      </c>
      <c r="L289" s="3" t="s">
        <v>398</v>
      </c>
      <c r="M289" s="3" t="n">
        <v>1</v>
      </c>
      <c r="N289" s="3" t="n">
        <v>60.81</v>
      </c>
      <c r="O289" s="3" t="s">
        <v>404</v>
      </c>
    </row>
    <row r="290" customFormat="false" ht="15" hidden="false" customHeight="false" outlineLevel="0" collapsed="false">
      <c r="A290" s="3" t="s">
        <v>410</v>
      </c>
      <c r="B290" s="3" t="s">
        <v>189</v>
      </c>
      <c r="C290" s="3" t="s">
        <v>96</v>
      </c>
      <c r="D290" s="3" t="s">
        <v>392</v>
      </c>
      <c r="E290" s="3" t="s">
        <v>399</v>
      </c>
      <c r="F290" s="3" t="n">
        <v>117</v>
      </c>
      <c r="G290" s="3" t="n">
        <v>62</v>
      </c>
      <c r="H290" s="3" t="n">
        <v>58</v>
      </c>
      <c r="I290" s="3" t="n">
        <v>59.04</v>
      </c>
      <c r="J290" s="3" t="n">
        <v>40.61</v>
      </c>
      <c r="K290" s="3" t="n">
        <v>10</v>
      </c>
      <c r="L290" s="3" t="s">
        <v>408</v>
      </c>
      <c r="M290" s="3" t="n">
        <v>1</v>
      </c>
      <c r="N290" s="3" t="n">
        <v>44.37</v>
      </c>
      <c r="O290" s="3" t="s">
        <v>395</v>
      </c>
    </row>
    <row r="291" customFormat="false" ht="15" hidden="false" customHeight="false" outlineLevel="0" collapsed="false">
      <c r="A291" s="3" t="s">
        <v>410</v>
      </c>
      <c r="B291" s="3" t="s">
        <v>189</v>
      </c>
      <c r="C291" s="3" t="s">
        <v>98</v>
      </c>
      <c r="D291" s="3" t="s">
        <v>406</v>
      </c>
      <c r="E291" s="3" t="s">
        <v>399</v>
      </c>
      <c r="F291" s="3" t="n">
        <v>368</v>
      </c>
      <c r="G291" s="3" t="n">
        <v>77</v>
      </c>
      <c r="H291" s="3" t="n">
        <v>44</v>
      </c>
      <c r="I291" s="3" t="n">
        <v>95.69</v>
      </c>
      <c r="J291" s="3" t="n">
        <v>63.61</v>
      </c>
      <c r="K291" s="3" t="n">
        <v>5</v>
      </c>
      <c r="L291" s="3" t="s">
        <v>394</v>
      </c>
      <c r="M291" s="3" t="n">
        <v>1</v>
      </c>
      <c r="N291" s="3" t="n">
        <v>63.81</v>
      </c>
      <c r="O291" s="3" t="s">
        <v>404</v>
      </c>
    </row>
    <row r="292" customFormat="false" ht="15" hidden="false" customHeight="false" outlineLevel="0" collapsed="false">
      <c r="A292" s="3" t="s">
        <v>410</v>
      </c>
      <c r="B292" s="3" t="s">
        <v>189</v>
      </c>
      <c r="C292" s="3" t="s">
        <v>100</v>
      </c>
      <c r="D292" s="3" t="s">
        <v>402</v>
      </c>
      <c r="E292" s="3" t="s">
        <v>397</v>
      </c>
      <c r="F292" s="3" t="n">
        <v>207</v>
      </c>
      <c r="G292" s="3" t="n">
        <v>177</v>
      </c>
      <c r="H292" s="3" t="n">
        <v>154</v>
      </c>
      <c r="I292" s="3" t="n">
        <v>173.93</v>
      </c>
      <c r="J292" s="3" t="n">
        <v>97.09</v>
      </c>
      <c r="K292" s="3" t="n">
        <v>5</v>
      </c>
      <c r="L292" s="3" t="s">
        <v>408</v>
      </c>
      <c r="M292" s="3" t="n">
        <v>1</v>
      </c>
      <c r="N292" s="3" t="n">
        <v>95.17</v>
      </c>
      <c r="O292" s="3" t="s">
        <v>400</v>
      </c>
    </row>
    <row r="293" customFormat="false" ht="15" hidden="false" customHeight="false" outlineLevel="0" collapsed="false">
      <c r="A293" s="3" t="s">
        <v>410</v>
      </c>
      <c r="B293" s="3" t="s">
        <v>189</v>
      </c>
      <c r="C293" s="3" t="s">
        <v>102</v>
      </c>
      <c r="D293" s="3" t="s">
        <v>402</v>
      </c>
      <c r="E293" s="3" t="s">
        <v>399</v>
      </c>
      <c r="F293" s="3" t="n">
        <v>398</v>
      </c>
      <c r="G293" s="3" t="n">
        <v>349</v>
      </c>
      <c r="H293" s="3" t="n">
        <v>98</v>
      </c>
      <c r="I293" s="3" t="n">
        <v>350.47</v>
      </c>
      <c r="J293" s="3" t="n">
        <v>52.72</v>
      </c>
      <c r="K293" s="3" t="n">
        <v>10</v>
      </c>
      <c r="L293" s="3" t="s">
        <v>398</v>
      </c>
      <c r="M293" s="3" t="n">
        <v>0</v>
      </c>
      <c r="N293" s="3" t="n">
        <v>55.74</v>
      </c>
      <c r="O293" s="3" t="s">
        <v>404</v>
      </c>
    </row>
    <row r="294" customFormat="false" ht="15" hidden="false" customHeight="false" outlineLevel="0" collapsed="false">
      <c r="A294" s="3" t="s">
        <v>410</v>
      </c>
      <c r="B294" s="3" t="s">
        <v>189</v>
      </c>
      <c r="C294" s="3" t="s">
        <v>104</v>
      </c>
      <c r="D294" s="3" t="s">
        <v>392</v>
      </c>
      <c r="E294" s="3" t="s">
        <v>393</v>
      </c>
      <c r="F294" s="3" t="n">
        <v>476</v>
      </c>
      <c r="G294" s="3" t="n">
        <v>74</v>
      </c>
      <c r="H294" s="3" t="n">
        <v>25</v>
      </c>
      <c r="I294" s="3" t="n">
        <v>91.48</v>
      </c>
      <c r="J294" s="3" t="n">
        <v>14.41</v>
      </c>
      <c r="K294" s="3" t="n">
        <v>20</v>
      </c>
      <c r="L294" s="3" t="s">
        <v>398</v>
      </c>
      <c r="M294" s="3" t="n">
        <v>1</v>
      </c>
      <c r="N294" s="3" t="n">
        <v>11.25</v>
      </c>
      <c r="O294" s="3" t="s">
        <v>407</v>
      </c>
    </row>
    <row r="295" customFormat="false" ht="15" hidden="false" customHeight="false" outlineLevel="0" collapsed="false">
      <c r="A295" s="3" t="s">
        <v>410</v>
      </c>
      <c r="B295" s="3" t="s">
        <v>189</v>
      </c>
      <c r="C295" s="3" t="s">
        <v>106</v>
      </c>
      <c r="D295" s="3" t="s">
        <v>392</v>
      </c>
      <c r="E295" s="3" t="s">
        <v>393</v>
      </c>
      <c r="F295" s="3" t="n">
        <v>119</v>
      </c>
      <c r="G295" s="3" t="n">
        <v>40</v>
      </c>
      <c r="H295" s="3" t="n">
        <v>151</v>
      </c>
      <c r="I295" s="3" t="n">
        <v>43.92</v>
      </c>
      <c r="J295" s="3" t="n">
        <v>74.14</v>
      </c>
      <c r="K295" s="3" t="n">
        <v>0</v>
      </c>
      <c r="L295" s="3" t="s">
        <v>401</v>
      </c>
      <c r="M295" s="3" t="n">
        <v>1</v>
      </c>
      <c r="N295" s="3" t="n">
        <v>69.67</v>
      </c>
      <c r="O295" s="3" t="s">
        <v>404</v>
      </c>
    </row>
    <row r="296" customFormat="false" ht="15" hidden="false" customHeight="false" outlineLevel="0" collapsed="false">
      <c r="A296" s="3" t="s">
        <v>410</v>
      </c>
      <c r="B296" s="3" t="s">
        <v>189</v>
      </c>
      <c r="C296" s="3" t="s">
        <v>108</v>
      </c>
      <c r="D296" s="3" t="s">
        <v>396</v>
      </c>
      <c r="E296" s="3" t="s">
        <v>393</v>
      </c>
      <c r="F296" s="3" t="n">
        <v>77</v>
      </c>
      <c r="G296" s="3" t="n">
        <v>72</v>
      </c>
      <c r="H296" s="3" t="n">
        <v>27</v>
      </c>
      <c r="I296" s="3" t="n">
        <v>68.01</v>
      </c>
      <c r="J296" s="3" t="n">
        <v>46.94</v>
      </c>
      <c r="K296" s="3" t="n">
        <v>20</v>
      </c>
      <c r="L296" s="3" t="s">
        <v>394</v>
      </c>
      <c r="M296" s="3" t="n">
        <v>1</v>
      </c>
      <c r="N296" s="3" t="n">
        <v>46.58</v>
      </c>
      <c r="O296" s="3" t="s">
        <v>404</v>
      </c>
    </row>
    <row r="297" customFormat="false" ht="15" hidden="false" customHeight="false" outlineLevel="0" collapsed="false">
      <c r="A297" s="3" t="s">
        <v>410</v>
      </c>
      <c r="B297" s="3" t="s">
        <v>189</v>
      </c>
      <c r="C297" s="3" t="s">
        <v>110</v>
      </c>
      <c r="D297" s="3" t="s">
        <v>396</v>
      </c>
      <c r="E297" s="3" t="s">
        <v>397</v>
      </c>
      <c r="F297" s="3" t="n">
        <v>191</v>
      </c>
      <c r="G297" s="3" t="n">
        <v>190</v>
      </c>
      <c r="H297" s="3" t="n">
        <v>126</v>
      </c>
      <c r="I297" s="3" t="n">
        <v>205.54</v>
      </c>
      <c r="J297" s="3" t="n">
        <v>23.04</v>
      </c>
      <c r="K297" s="3" t="n">
        <v>5</v>
      </c>
      <c r="L297" s="3" t="s">
        <v>408</v>
      </c>
      <c r="M297" s="3" t="n">
        <v>0</v>
      </c>
      <c r="N297" s="3" t="n">
        <v>19.33</v>
      </c>
      <c r="O297" s="3" t="s">
        <v>395</v>
      </c>
    </row>
    <row r="298" customFormat="false" ht="15" hidden="false" customHeight="false" outlineLevel="0" collapsed="false">
      <c r="A298" s="3" t="s">
        <v>410</v>
      </c>
      <c r="B298" s="3" t="s">
        <v>189</v>
      </c>
      <c r="C298" s="3" t="s">
        <v>112</v>
      </c>
      <c r="D298" s="3" t="s">
        <v>396</v>
      </c>
      <c r="E298" s="3" t="s">
        <v>393</v>
      </c>
      <c r="F298" s="3" t="n">
        <v>419</v>
      </c>
      <c r="G298" s="3" t="n">
        <v>263</v>
      </c>
      <c r="H298" s="3" t="n">
        <v>189</v>
      </c>
      <c r="I298" s="3" t="n">
        <v>263.83</v>
      </c>
      <c r="J298" s="3" t="n">
        <v>28.02</v>
      </c>
      <c r="K298" s="3" t="n">
        <v>5</v>
      </c>
      <c r="L298" s="3" t="s">
        <v>398</v>
      </c>
      <c r="M298" s="3" t="n">
        <v>1</v>
      </c>
      <c r="N298" s="3" t="n">
        <v>23.72</v>
      </c>
      <c r="O298" s="3" t="s">
        <v>395</v>
      </c>
    </row>
    <row r="299" customFormat="false" ht="15" hidden="false" customHeight="false" outlineLevel="0" collapsed="false">
      <c r="A299" s="3" t="s">
        <v>410</v>
      </c>
      <c r="B299" s="3" t="s">
        <v>189</v>
      </c>
      <c r="C299" s="3" t="s">
        <v>114</v>
      </c>
      <c r="D299" s="3" t="s">
        <v>396</v>
      </c>
      <c r="E299" s="3" t="s">
        <v>397</v>
      </c>
      <c r="F299" s="3" t="n">
        <v>184</v>
      </c>
      <c r="G299" s="3" t="n">
        <v>126</v>
      </c>
      <c r="H299" s="3" t="n">
        <v>175</v>
      </c>
      <c r="I299" s="3" t="n">
        <v>143.76</v>
      </c>
      <c r="J299" s="3" t="n">
        <v>86.82</v>
      </c>
      <c r="K299" s="3" t="n">
        <v>20</v>
      </c>
      <c r="L299" s="3" t="s">
        <v>401</v>
      </c>
      <c r="M299" s="3" t="n">
        <v>0</v>
      </c>
      <c r="N299" s="3" t="n">
        <v>85.26</v>
      </c>
      <c r="O299" s="3" t="s">
        <v>395</v>
      </c>
    </row>
    <row r="300" customFormat="false" ht="15" hidden="false" customHeight="false" outlineLevel="0" collapsed="false">
      <c r="A300" s="3" t="s">
        <v>410</v>
      </c>
      <c r="B300" s="3" t="s">
        <v>189</v>
      </c>
      <c r="C300" s="3" t="s">
        <v>116</v>
      </c>
      <c r="D300" s="3" t="s">
        <v>406</v>
      </c>
      <c r="E300" s="3" t="s">
        <v>393</v>
      </c>
      <c r="F300" s="3" t="n">
        <v>361</v>
      </c>
      <c r="G300" s="3" t="n">
        <v>17</v>
      </c>
      <c r="H300" s="3" t="n">
        <v>171</v>
      </c>
      <c r="I300" s="3" t="n">
        <v>25.61</v>
      </c>
      <c r="J300" s="3" t="n">
        <v>80.31</v>
      </c>
      <c r="K300" s="3" t="n">
        <v>5</v>
      </c>
      <c r="L300" s="3" t="s">
        <v>401</v>
      </c>
      <c r="M300" s="3" t="n">
        <v>1</v>
      </c>
      <c r="N300" s="3" t="n">
        <v>76.56</v>
      </c>
      <c r="O300" s="3" t="s">
        <v>407</v>
      </c>
    </row>
    <row r="301" customFormat="false" ht="15" hidden="false" customHeight="false" outlineLevel="0" collapsed="false">
      <c r="A301" s="3" t="s">
        <v>410</v>
      </c>
      <c r="B301" s="3" t="s">
        <v>189</v>
      </c>
      <c r="C301" s="3" t="s">
        <v>118</v>
      </c>
      <c r="D301" s="3" t="s">
        <v>396</v>
      </c>
      <c r="E301" s="3" t="s">
        <v>403</v>
      </c>
      <c r="F301" s="3" t="n">
        <v>154</v>
      </c>
      <c r="G301" s="3" t="n">
        <v>19</v>
      </c>
      <c r="H301" s="3" t="n">
        <v>116</v>
      </c>
      <c r="I301" s="3" t="n">
        <v>37.45</v>
      </c>
      <c r="J301" s="3" t="n">
        <v>41.28</v>
      </c>
      <c r="K301" s="3" t="n">
        <v>10</v>
      </c>
      <c r="L301" s="3" t="s">
        <v>394</v>
      </c>
      <c r="M301" s="3" t="n">
        <v>0</v>
      </c>
      <c r="N301" s="3" t="n">
        <v>40.59</v>
      </c>
      <c r="O301" s="3" t="s">
        <v>407</v>
      </c>
    </row>
    <row r="302" customFormat="false" ht="15" hidden="false" customHeight="false" outlineLevel="0" collapsed="false">
      <c r="A302" s="3" t="s">
        <v>410</v>
      </c>
      <c r="B302" s="3" t="s">
        <v>189</v>
      </c>
      <c r="C302" s="3" t="s">
        <v>120</v>
      </c>
      <c r="D302" s="3" t="s">
        <v>396</v>
      </c>
      <c r="E302" s="3" t="s">
        <v>393</v>
      </c>
      <c r="F302" s="3" t="n">
        <v>376</v>
      </c>
      <c r="G302" s="3" t="n">
        <v>36</v>
      </c>
      <c r="H302" s="3" t="n">
        <v>53</v>
      </c>
      <c r="I302" s="3" t="n">
        <v>43.47</v>
      </c>
      <c r="J302" s="3" t="n">
        <v>38.42</v>
      </c>
      <c r="K302" s="3" t="n">
        <v>0</v>
      </c>
      <c r="L302" s="3" t="s">
        <v>408</v>
      </c>
      <c r="M302" s="3" t="n">
        <v>1</v>
      </c>
      <c r="N302" s="3" t="n">
        <v>35.98</v>
      </c>
      <c r="O302" s="3" t="s">
        <v>404</v>
      </c>
    </row>
    <row r="303" customFormat="false" ht="15" hidden="false" customHeight="false" outlineLevel="0" collapsed="false">
      <c r="A303" s="3" t="s">
        <v>410</v>
      </c>
      <c r="B303" s="3" t="s">
        <v>189</v>
      </c>
      <c r="C303" s="3" t="s">
        <v>122</v>
      </c>
      <c r="D303" s="3" t="s">
        <v>396</v>
      </c>
      <c r="E303" s="3" t="s">
        <v>393</v>
      </c>
      <c r="F303" s="3" t="n">
        <v>268</v>
      </c>
      <c r="G303" s="3" t="n">
        <v>207</v>
      </c>
      <c r="H303" s="3" t="n">
        <v>177</v>
      </c>
      <c r="I303" s="3" t="n">
        <v>198.44</v>
      </c>
      <c r="J303" s="3" t="n">
        <v>59.93</v>
      </c>
      <c r="K303" s="3" t="n">
        <v>20</v>
      </c>
      <c r="L303" s="3" t="s">
        <v>408</v>
      </c>
      <c r="M303" s="3" t="n">
        <v>0</v>
      </c>
      <c r="N303" s="3" t="n">
        <v>64.67</v>
      </c>
      <c r="O303" s="3" t="s">
        <v>395</v>
      </c>
    </row>
    <row r="304" customFormat="false" ht="15" hidden="false" customHeight="false" outlineLevel="0" collapsed="false">
      <c r="A304" s="3" t="s">
        <v>410</v>
      </c>
      <c r="B304" s="3" t="s">
        <v>189</v>
      </c>
      <c r="C304" s="3" t="s">
        <v>124</v>
      </c>
      <c r="D304" s="3" t="s">
        <v>396</v>
      </c>
      <c r="E304" s="3" t="s">
        <v>397</v>
      </c>
      <c r="F304" s="3" t="n">
        <v>451</v>
      </c>
      <c r="G304" s="3" t="n">
        <v>91</v>
      </c>
      <c r="H304" s="3" t="n">
        <v>193</v>
      </c>
      <c r="I304" s="3" t="n">
        <v>99.88</v>
      </c>
      <c r="J304" s="3" t="n">
        <v>66.76</v>
      </c>
      <c r="K304" s="3" t="n">
        <v>5</v>
      </c>
      <c r="L304" s="3" t="s">
        <v>398</v>
      </c>
      <c r="M304" s="3" t="n">
        <v>0</v>
      </c>
      <c r="N304" s="3" t="n">
        <v>62.53</v>
      </c>
      <c r="O304" s="3" t="s">
        <v>400</v>
      </c>
    </row>
    <row r="305" customFormat="false" ht="15" hidden="false" customHeight="false" outlineLevel="0" collapsed="false">
      <c r="A305" s="3" t="s">
        <v>411</v>
      </c>
      <c r="B305" s="3" t="s">
        <v>85</v>
      </c>
      <c r="C305" s="3" t="s">
        <v>86</v>
      </c>
      <c r="D305" s="3" t="s">
        <v>392</v>
      </c>
      <c r="E305" s="3" t="s">
        <v>397</v>
      </c>
      <c r="F305" s="3" t="n">
        <v>85</v>
      </c>
      <c r="G305" s="3" t="n">
        <v>58</v>
      </c>
      <c r="H305" s="3" t="n">
        <v>193</v>
      </c>
      <c r="I305" s="3" t="n">
        <v>52.87</v>
      </c>
      <c r="J305" s="3" t="n">
        <v>77.88</v>
      </c>
      <c r="K305" s="3" t="n">
        <v>15</v>
      </c>
      <c r="L305" s="3" t="s">
        <v>401</v>
      </c>
      <c r="M305" s="3" t="n">
        <v>1</v>
      </c>
      <c r="N305" s="3" t="n">
        <v>75.99</v>
      </c>
      <c r="O305" s="3" t="s">
        <v>404</v>
      </c>
    </row>
    <row r="306" customFormat="false" ht="15" hidden="false" customHeight="false" outlineLevel="0" collapsed="false">
      <c r="A306" s="3" t="s">
        <v>411</v>
      </c>
      <c r="B306" s="3" t="s">
        <v>85</v>
      </c>
      <c r="C306" s="3" t="s">
        <v>88</v>
      </c>
      <c r="D306" s="3" t="s">
        <v>402</v>
      </c>
      <c r="E306" s="3" t="s">
        <v>393</v>
      </c>
      <c r="F306" s="3" t="n">
        <v>91</v>
      </c>
      <c r="G306" s="3" t="n">
        <v>91</v>
      </c>
      <c r="H306" s="3" t="n">
        <v>142</v>
      </c>
      <c r="I306" s="3" t="n">
        <v>82.65</v>
      </c>
      <c r="J306" s="3" t="n">
        <v>88.22</v>
      </c>
      <c r="K306" s="3" t="n">
        <v>15</v>
      </c>
      <c r="L306" s="3" t="s">
        <v>398</v>
      </c>
      <c r="M306" s="3" t="n">
        <v>1</v>
      </c>
      <c r="N306" s="3" t="n">
        <v>87.44</v>
      </c>
      <c r="O306" s="3" t="s">
        <v>395</v>
      </c>
    </row>
    <row r="307" customFormat="false" ht="15" hidden="false" customHeight="false" outlineLevel="0" collapsed="false">
      <c r="A307" s="3" t="s">
        <v>411</v>
      </c>
      <c r="B307" s="3" t="s">
        <v>85</v>
      </c>
      <c r="C307" s="3" t="s">
        <v>90</v>
      </c>
      <c r="D307" s="3" t="s">
        <v>396</v>
      </c>
      <c r="E307" s="3" t="s">
        <v>397</v>
      </c>
      <c r="F307" s="3" t="n">
        <v>184</v>
      </c>
      <c r="G307" s="3" t="n">
        <v>70</v>
      </c>
      <c r="H307" s="3" t="n">
        <v>191</v>
      </c>
      <c r="I307" s="3" t="n">
        <v>82.51</v>
      </c>
      <c r="J307" s="3" t="n">
        <v>10.55</v>
      </c>
      <c r="K307" s="3" t="n">
        <v>15</v>
      </c>
      <c r="L307" s="3" t="s">
        <v>401</v>
      </c>
      <c r="M307" s="3" t="n">
        <v>0</v>
      </c>
      <c r="N307" s="3" t="n">
        <v>7.6</v>
      </c>
      <c r="O307" s="3" t="s">
        <v>404</v>
      </c>
    </row>
    <row r="308" customFormat="false" ht="15" hidden="false" customHeight="false" outlineLevel="0" collapsed="false">
      <c r="A308" s="3" t="s">
        <v>411</v>
      </c>
      <c r="B308" s="3" t="s">
        <v>85</v>
      </c>
      <c r="C308" s="3" t="s">
        <v>92</v>
      </c>
      <c r="D308" s="3" t="s">
        <v>402</v>
      </c>
      <c r="E308" s="3" t="s">
        <v>393</v>
      </c>
      <c r="F308" s="3" t="n">
        <v>209</v>
      </c>
      <c r="G308" s="3" t="n">
        <v>0</v>
      </c>
      <c r="H308" s="3" t="n">
        <v>123</v>
      </c>
      <c r="I308" s="3" t="n">
        <v>15.37</v>
      </c>
      <c r="J308" s="3" t="n">
        <v>44.81</v>
      </c>
      <c r="K308" s="3" t="n">
        <v>5</v>
      </c>
      <c r="L308" s="3" t="s">
        <v>398</v>
      </c>
      <c r="M308" s="3" t="n">
        <v>1</v>
      </c>
      <c r="N308" s="3" t="n">
        <v>45.53</v>
      </c>
      <c r="O308" s="3" t="s">
        <v>404</v>
      </c>
    </row>
    <row r="309" customFormat="false" ht="15" hidden="false" customHeight="false" outlineLevel="0" collapsed="false">
      <c r="A309" s="3" t="s">
        <v>411</v>
      </c>
      <c r="B309" s="3" t="s">
        <v>85</v>
      </c>
      <c r="C309" s="3" t="s">
        <v>94</v>
      </c>
      <c r="D309" s="3" t="s">
        <v>402</v>
      </c>
      <c r="E309" s="3" t="s">
        <v>403</v>
      </c>
      <c r="F309" s="3" t="n">
        <v>470</v>
      </c>
      <c r="G309" s="3" t="n">
        <v>32</v>
      </c>
      <c r="H309" s="3" t="n">
        <v>192</v>
      </c>
      <c r="I309" s="3" t="n">
        <v>45.57</v>
      </c>
      <c r="J309" s="3" t="n">
        <v>69.65</v>
      </c>
      <c r="K309" s="3" t="n">
        <v>10</v>
      </c>
      <c r="L309" s="3" t="s">
        <v>408</v>
      </c>
      <c r="M309" s="3" t="n">
        <v>0</v>
      </c>
      <c r="N309" s="3" t="n">
        <v>73.5</v>
      </c>
      <c r="O309" s="3" t="s">
        <v>407</v>
      </c>
    </row>
    <row r="310" customFormat="false" ht="15" hidden="false" customHeight="false" outlineLevel="0" collapsed="false">
      <c r="A310" s="3" t="s">
        <v>411</v>
      </c>
      <c r="B310" s="3" t="s">
        <v>85</v>
      </c>
      <c r="C310" s="3" t="s">
        <v>96</v>
      </c>
      <c r="D310" s="3" t="s">
        <v>406</v>
      </c>
      <c r="E310" s="3" t="s">
        <v>397</v>
      </c>
      <c r="F310" s="3" t="n">
        <v>127</v>
      </c>
      <c r="G310" s="3" t="n">
        <v>8</v>
      </c>
      <c r="H310" s="3" t="n">
        <v>84</v>
      </c>
      <c r="I310" s="3" t="n">
        <v>0.54</v>
      </c>
      <c r="J310" s="3" t="n">
        <v>53.35</v>
      </c>
      <c r="K310" s="3" t="n">
        <v>20</v>
      </c>
      <c r="L310" s="3" t="s">
        <v>401</v>
      </c>
      <c r="M310" s="3" t="n">
        <v>0</v>
      </c>
      <c r="N310" s="3" t="n">
        <v>55.07</v>
      </c>
      <c r="O310" s="3" t="s">
        <v>407</v>
      </c>
    </row>
    <row r="311" customFormat="false" ht="15" hidden="false" customHeight="false" outlineLevel="0" collapsed="false">
      <c r="A311" s="3" t="s">
        <v>411</v>
      </c>
      <c r="B311" s="3" t="s">
        <v>85</v>
      </c>
      <c r="C311" s="3" t="s">
        <v>98</v>
      </c>
      <c r="D311" s="3" t="s">
        <v>392</v>
      </c>
      <c r="E311" s="3" t="s">
        <v>393</v>
      </c>
      <c r="F311" s="3" t="n">
        <v>367</v>
      </c>
      <c r="G311" s="3" t="n">
        <v>341</v>
      </c>
      <c r="H311" s="3" t="n">
        <v>39</v>
      </c>
      <c r="I311" s="3" t="n">
        <v>336.71</v>
      </c>
      <c r="J311" s="3" t="n">
        <v>33.47</v>
      </c>
      <c r="K311" s="3" t="n">
        <v>5</v>
      </c>
      <c r="L311" s="3" t="s">
        <v>401</v>
      </c>
      <c r="M311" s="3" t="n">
        <v>0</v>
      </c>
      <c r="N311" s="3" t="n">
        <v>28.95</v>
      </c>
      <c r="O311" s="3" t="s">
        <v>407</v>
      </c>
    </row>
    <row r="312" customFormat="false" ht="15" hidden="false" customHeight="false" outlineLevel="0" collapsed="false">
      <c r="A312" s="3" t="s">
        <v>411</v>
      </c>
      <c r="B312" s="3" t="s">
        <v>85</v>
      </c>
      <c r="C312" s="3" t="s">
        <v>100</v>
      </c>
      <c r="D312" s="3" t="s">
        <v>402</v>
      </c>
      <c r="E312" s="3" t="s">
        <v>403</v>
      </c>
      <c r="F312" s="3" t="n">
        <v>404</v>
      </c>
      <c r="G312" s="3" t="n">
        <v>347</v>
      </c>
      <c r="H312" s="3" t="n">
        <v>183</v>
      </c>
      <c r="I312" s="3" t="n">
        <v>350.96</v>
      </c>
      <c r="J312" s="3" t="n">
        <v>61.1</v>
      </c>
      <c r="K312" s="3" t="n">
        <v>20</v>
      </c>
      <c r="L312" s="3" t="s">
        <v>398</v>
      </c>
      <c r="M312" s="3" t="n">
        <v>0</v>
      </c>
      <c r="N312" s="3" t="n">
        <v>58.46</v>
      </c>
      <c r="O312" s="3" t="s">
        <v>404</v>
      </c>
    </row>
    <row r="313" customFormat="false" ht="15" hidden="false" customHeight="false" outlineLevel="0" collapsed="false">
      <c r="A313" s="3" t="s">
        <v>411</v>
      </c>
      <c r="B313" s="3" t="s">
        <v>85</v>
      </c>
      <c r="C313" s="3" t="s">
        <v>102</v>
      </c>
      <c r="D313" s="3" t="s">
        <v>392</v>
      </c>
      <c r="E313" s="3" t="s">
        <v>393</v>
      </c>
      <c r="F313" s="3" t="n">
        <v>403</v>
      </c>
      <c r="G313" s="3" t="n">
        <v>15</v>
      </c>
      <c r="H313" s="3" t="n">
        <v>187</v>
      </c>
      <c r="I313" s="3" t="n">
        <v>26.72</v>
      </c>
      <c r="J313" s="3" t="n">
        <v>45.25</v>
      </c>
      <c r="K313" s="3" t="n">
        <v>10</v>
      </c>
      <c r="L313" s="3" t="s">
        <v>398</v>
      </c>
      <c r="M313" s="3" t="n">
        <v>0</v>
      </c>
      <c r="N313" s="3" t="n">
        <v>46.74</v>
      </c>
      <c r="O313" s="3" t="s">
        <v>400</v>
      </c>
    </row>
    <row r="314" customFormat="false" ht="15" hidden="false" customHeight="false" outlineLevel="0" collapsed="false">
      <c r="A314" s="3" t="s">
        <v>411</v>
      </c>
      <c r="B314" s="3" t="s">
        <v>85</v>
      </c>
      <c r="C314" s="3" t="s">
        <v>104</v>
      </c>
      <c r="D314" s="3" t="s">
        <v>396</v>
      </c>
      <c r="E314" s="3" t="s">
        <v>403</v>
      </c>
      <c r="F314" s="3" t="n">
        <v>494</v>
      </c>
      <c r="G314" s="3" t="n">
        <v>85</v>
      </c>
      <c r="H314" s="3" t="n">
        <v>122</v>
      </c>
      <c r="I314" s="3" t="n">
        <v>92.86</v>
      </c>
      <c r="J314" s="3" t="n">
        <v>94.98</v>
      </c>
      <c r="K314" s="3" t="n">
        <v>20</v>
      </c>
      <c r="L314" s="3" t="s">
        <v>394</v>
      </c>
      <c r="M314" s="3" t="n">
        <v>0</v>
      </c>
      <c r="N314" s="3" t="n">
        <v>98.87</v>
      </c>
      <c r="O314" s="3" t="s">
        <v>395</v>
      </c>
    </row>
    <row r="315" customFormat="false" ht="15" hidden="false" customHeight="false" outlineLevel="0" collapsed="false">
      <c r="A315" s="3" t="s">
        <v>411</v>
      </c>
      <c r="B315" s="3" t="s">
        <v>85</v>
      </c>
      <c r="C315" s="3" t="s">
        <v>106</v>
      </c>
      <c r="D315" s="3" t="s">
        <v>396</v>
      </c>
      <c r="E315" s="3" t="s">
        <v>397</v>
      </c>
      <c r="F315" s="3" t="n">
        <v>421</v>
      </c>
      <c r="G315" s="3" t="n">
        <v>30</v>
      </c>
      <c r="H315" s="3" t="n">
        <v>33</v>
      </c>
      <c r="I315" s="3" t="n">
        <v>49.2</v>
      </c>
      <c r="J315" s="3" t="n">
        <v>24.21</v>
      </c>
      <c r="K315" s="3" t="n">
        <v>0</v>
      </c>
      <c r="L315" s="3" t="s">
        <v>398</v>
      </c>
      <c r="M315" s="3" t="n">
        <v>0</v>
      </c>
      <c r="N315" s="3" t="n">
        <v>25.48</v>
      </c>
      <c r="O315" s="3" t="s">
        <v>407</v>
      </c>
    </row>
    <row r="316" customFormat="false" ht="15" hidden="false" customHeight="false" outlineLevel="0" collapsed="false">
      <c r="A316" s="3" t="s">
        <v>411</v>
      </c>
      <c r="B316" s="3" t="s">
        <v>85</v>
      </c>
      <c r="C316" s="3" t="s">
        <v>108</v>
      </c>
      <c r="D316" s="3" t="s">
        <v>402</v>
      </c>
      <c r="E316" s="3" t="s">
        <v>399</v>
      </c>
      <c r="F316" s="3" t="n">
        <v>150</v>
      </c>
      <c r="G316" s="3" t="n">
        <v>136</v>
      </c>
      <c r="H316" s="3" t="n">
        <v>129</v>
      </c>
      <c r="I316" s="3" t="n">
        <v>140.64</v>
      </c>
      <c r="J316" s="3" t="n">
        <v>66.07</v>
      </c>
      <c r="K316" s="3" t="n">
        <v>5</v>
      </c>
      <c r="L316" s="3" t="s">
        <v>408</v>
      </c>
      <c r="M316" s="3" t="n">
        <v>0</v>
      </c>
      <c r="N316" s="3" t="n">
        <v>70.84</v>
      </c>
      <c r="O316" s="3" t="s">
        <v>404</v>
      </c>
    </row>
    <row r="317" customFormat="false" ht="15" hidden="false" customHeight="false" outlineLevel="0" collapsed="false">
      <c r="A317" s="3" t="s">
        <v>411</v>
      </c>
      <c r="B317" s="3" t="s">
        <v>85</v>
      </c>
      <c r="C317" s="3" t="s">
        <v>110</v>
      </c>
      <c r="D317" s="3" t="s">
        <v>396</v>
      </c>
      <c r="E317" s="3" t="s">
        <v>393</v>
      </c>
      <c r="F317" s="3" t="n">
        <v>94</v>
      </c>
      <c r="G317" s="3" t="n">
        <v>31</v>
      </c>
      <c r="H317" s="3" t="n">
        <v>174</v>
      </c>
      <c r="I317" s="3" t="n">
        <v>46.7</v>
      </c>
      <c r="J317" s="3" t="n">
        <v>34.68</v>
      </c>
      <c r="K317" s="3" t="n">
        <v>10</v>
      </c>
      <c r="L317" s="3" t="s">
        <v>398</v>
      </c>
      <c r="M317" s="3" t="n">
        <v>0</v>
      </c>
      <c r="N317" s="3" t="n">
        <v>33.73</v>
      </c>
      <c r="O317" s="3" t="s">
        <v>404</v>
      </c>
    </row>
    <row r="318" customFormat="false" ht="15" hidden="false" customHeight="false" outlineLevel="0" collapsed="false">
      <c r="A318" s="3" t="s">
        <v>411</v>
      </c>
      <c r="B318" s="3" t="s">
        <v>85</v>
      </c>
      <c r="C318" s="3" t="s">
        <v>112</v>
      </c>
      <c r="D318" s="3" t="s">
        <v>406</v>
      </c>
      <c r="E318" s="3" t="s">
        <v>403</v>
      </c>
      <c r="F318" s="3" t="n">
        <v>77</v>
      </c>
      <c r="G318" s="3" t="n">
        <v>7</v>
      </c>
      <c r="H318" s="3" t="n">
        <v>76</v>
      </c>
      <c r="I318" s="3" t="n">
        <v>22.66</v>
      </c>
      <c r="J318" s="3" t="n">
        <v>98.28</v>
      </c>
      <c r="K318" s="3" t="n">
        <v>15</v>
      </c>
      <c r="L318" s="3" t="s">
        <v>401</v>
      </c>
      <c r="M318" s="3" t="n">
        <v>1</v>
      </c>
      <c r="N318" s="3" t="n">
        <v>95.38</v>
      </c>
      <c r="O318" s="3" t="s">
        <v>407</v>
      </c>
    </row>
    <row r="319" customFormat="false" ht="15" hidden="false" customHeight="false" outlineLevel="0" collapsed="false">
      <c r="A319" s="3" t="s">
        <v>411</v>
      </c>
      <c r="B319" s="3" t="s">
        <v>85</v>
      </c>
      <c r="C319" s="3" t="s">
        <v>114</v>
      </c>
      <c r="D319" s="3" t="s">
        <v>402</v>
      </c>
      <c r="E319" s="3" t="s">
        <v>399</v>
      </c>
      <c r="F319" s="3" t="n">
        <v>430</v>
      </c>
      <c r="G319" s="3" t="n">
        <v>377</v>
      </c>
      <c r="H319" s="3" t="n">
        <v>118</v>
      </c>
      <c r="I319" s="3" t="n">
        <v>371.89</v>
      </c>
      <c r="J319" s="3" t="n">
        <v>87.24</v>
      </c>
      <c r="K319" s="3" t="n">
        <v>10</v>
      </c>
      <c r="L319" s="3" t="s">
        <v>401</v>
      </c>
      <c r="M319" s="3" t="n">
        <v>1</v>
      </c>
      <c r="N319" s="3" t="n">
        <v>88.66</v>
      </c>
      <c r="O319" s="3" t="s">
        <v>407</v>
      </c>
    </row>
    <row r="320" customFormat="false" ht="15" hidden="false" customHeight="false" outlineLevel="0" collapsed="false">
      <c r="A320" s="3" t="s">
        <v>411</v>
      </c>
      <c r="B320" s="3" t="s">
        <v>85</v>
      </c>
      <c r="C320" s="3" t="s">
        <v>116</v>
      </c>
      <c r="D320" s="3" t="s">
        <v>392</v>
      </c>
      <c r="E320" s="3" t="s">
        <v>393</v>
      </c>
      <c r="F320" s="3" t="n">
        <v>168</v>
      </c>
      <c r="G320" s="3" t="n">
        <v>28</v>
      </c>
      <c r="H320" s="3" t="n">
        <v>32</v>
      </c>
      <c r="I320" s="3" t="n">
        <v>33.2</v>
      </c>
      <c r="J320" s="3" t="n">
        <v>93.4</v>
      </c>
      <c r="K320" s="3" t="n">
        <v>10</v>
      </c>
      <c r="L320" s="3" t="s">
        <v>398</v>
      </c>
      <c r="M320" s="3" t="n">
        <v>0</v>
      </c>
      <c r="N320" s="3" t="n">
        <v>93.22</v>
      </c>
      <c r="O320" s="3" t="s">
        <v>400</v>
      </c>
    </row>
    <row r="321" customFormat="false" ht="15" hidden="false" customHeight="false" outlineLevel="0" collapsed="false">
      <c r="A321" s="3" t="s">
        <v>411</v>
      </c>
      <c r="B321" s="3" t="s">
        <v>85</v>
      </c>
      <c r="C321" s="3" t="s">
        <v>118</v>
      </c>
      <c r="D321" s="3" t="s">
        <v>396</v>
      </c>
      <c r="E321" s="3" t="s">
        <v>399</v>
      </c>
      <c r="F321" s="3" t="n">
        <v>353</v>
      </c>
      <c r="G321" s="3" t="n">
        <v>348</v>
      </c>
      <c r="H321" s="3" t="n">
        <v>36</v>
      </c>
      <c r="I321" s="3" t="n">
        <v>349.59</v>
      </c>
      <c r="J321" s="3" t="n">
        <v>53.02</v>
      </c>
      <c r="K321" s="3" t="n">
        <v>0</v>
      </c>
      <c r="L321" s="3" t="s">
        <v>401</v>
      </c>
      <c r="M321" s="3" t="n">
        <v>1</v>
      </c>
      <c r="N321" s="3" t="n">
        <v>57.08</v>
      </c>
      <c r="O321" s="3" t="s">
        <v>395</v>
      </c>
    </row>
    <row r="322" customFormat="false" ht="15" hidden="false" customHeight="false" outlineLevel="0" collapsed="false">
      <c r="A322" s="3" t="s">
        <v>411</v>
      </c>
      <c r="B322" s="3" t="s">
        <v>85</v>
      </c>
      <c r="C322" s="3" t="s">
        <v>120</v>
      </c>
      <c r="D322" s="3" t="s">
        <v>392</v>
      </c>
      <c r="E322" s="3" t="s">
        <v>397</v>
      </c>
      <c r="F322" s="3" t="n">
        <v>380</v>
      </c>
      <c r="G322" s="3" t="n">
        <v>258</v>
      </c>
      <c r="H322" s="3" t="n">
        <v>66</v>
      </c>
      <c r="I322" s="3" t="n">
        <v>258.58</v>
      </c>
      <c r="J322" s="3" t="n">
        <v>58.54</v>
      </c>
      <c r="K322" s="3" t="n">
        <v>5</v>
      </c>
      <c r="L322" s="3" t="s">
        <v>398</v>
      </c>
      <c r="M322" s="3" t="n">
        <v>1</v>
      </c>
      <c r="N322" s="3" t="n">
        <v>60.77</v>
      </c>
      <c r="O322" s="3" t="s">
        <v>400</v>
      </c>
    </row>
    <row r="323" customFormat="false" ht="15" hidden="false" customHeight="false" outlineLevel="0" collapsed="false">
      <c r="A323" s="3" t="s">
        <v>411</v>
      </c>
      <c r="B323" s="3" t="s">
        <v>85</v>
      </c>
      <c r="C323" s="3" t="s">
        <v>122</v>
      </c>
      <c r="D323" s="3" t="s">
        <v>396</v>
      </c>
      <c r="E323" s="3" t="s">
        <v>399</v>
      </c>
      <c r="F323" s="3" t="n">
        <v>127</v>
      </c>
      <c r="G323" s="3" t="n">
        <v>41</v>
      </c>
      <c r="H323" s="3" t="n">
        <v>191</v>
      </c>
      <c r="I323" s="3" t="n">
        <v>50.38</v>
      </c>
      <c r="J323" s="3" t="n">
        <v>63.29</v>
      </c>
      <c r="K323" s="3" t="n">
        <v>15</v>
      </c>
      <c r="L323" s="3" t="s">
        <v>398</v>
      </c>
      <c r="M323" s="3" t="n">
        <v>1</v>
      </c>
      <c r="N323" s="3" t="n">
        <v>61.73</v>
      </c>
      <c r="O323" s="3" t="s">
        <v>395</v>
      </c>
    </row>
    <row r="324" customFormat="false" ht="15" hidden="false" customHeight="false" outlineLevel="0" collapsed="false">
      <c r="A324" s="3" t="s">
        <v>411</v>
      </c>
      <c r="B324" s="3" t="s">
        <v>85</v>
      </c>
      <c r="C324" s="3" t="s">
        <v>124</v>
      </c>
      <c r="D324" s="3" t="s">
        <v>402</v>
      </c>
      <c r="E324" s="3" t="s">
        <v>393</v>
      </c>
      <c r="F324" s="3" t="n">
        <v>153</v>
      </c>
      <c r="G324" s="3" t="n">
        <v>49</v>
      </c>
      <c r="H324" s="3" t="n">
        <v>139</v>
      </c>
      <c r="I324" s="3" t="n">
        <v>44.55</v>
      </c>
      <c r="J324" s="3" t="n">
        <v>10.93</v>
      </c>
      <c r="K324" s="3" t="n">
        <v>0</v>
      </c>
      <c r="L324" s="3" t="s">
        <v>408</v>
      </c>
      <c r="M324" s="3" t="n">
        <v>1</v>
      </c>
      <c r="N324" s="3" t="n">
        <v>10.76</v>
      </c>
      <c r="O324" s="3" t="s">
        <v>404</v>
      </c>
    </row>
    <row r="325" customFormat="false" ht="15" hidden="false" customHeight="false" outlineLevel="0" collapsed="false">
      <c r="A325" s="3" t="s">
        <v>411</v>
      </c>
      <c r="B325" s="3" t="s">
        <v>126</v>
      </c>
      <c r="C325" s="3" t="s">
        <v>86</v>
      </c>
      <c r="D325" s="3" t="s">
        <v>406</v>
      </c>
      <c r="E325" s="3" t="s">
        <v>393</v>
      </c>
      <c r="F325" s="3" t="n">
        <v>108</v>
      </c>
      <c r="G325" s="3" t="n">
        <v>83</v>
      </c>
      <c r="H325" s="3" t="n">
        <v>25</v>
      </c>
      <c r="I325" s="3" t="n">
        <v>85.5</v>
      </c>
      <c r="J325" s="3" t="n">
        <v>45.49</v>
      </c>
      <c r="K325" s="3" t="n">
        <v>5</v>
      </c>
      <c r="L325" s="3" t="s">
        <v>398</v>
      </c>
      <c r="M325" s="3" t="n">
        <v>1</v>
      </c>
      <c r="N325" s="3" t="n">
        <v>44.33</v>
      </c>
      <c r="O325" s="3" t="s">
        <v>407</v>
      </c>
    </row>
    <row r="326" customFormat="false" ht="15" hidden="false" customHeight="false" outlineLevel="0" collapsed="false">
      <c r="A326" s="3" t="s">
        <v>411</v>
      </c>
      <c r="B326" s="3" t="s">
        <v>126</v>
      </c>
      <c r="C326" s="3" t="s">
        <v>88</v>
      </c>
      <c r="D326" s="3" t="s">
        <v>405</v>
      </c>
      <c r="E326" s="3" t="s">
        <v>399</v>
      </c>
      <c r="F326" s="3" t="n">
        <v>109</v>
      </c>
      <c r="G326" s="3" t="n">
        <v>60</v>
      </c>
      <c r="H326" s="3" t="n">
        <v>172</v>
      </c>
      <c r="I326" s="3" t="n">
        <v>71.47</v>
      </c>
      <c r="J326" s="3" t="n">
        <v>52.33</v>
      </c>
      <c r="K326" s="3" t="n">
        <v>10</v>
      </c>
      <c r="L326" s="3" t="s">
        <v>401</v>
      </c>
      <c r="M326" s="3" t="n">
        <v>1</v>
      </c>
      <c r="N326" s="3" t="n">
        <v>51.78</v>
      </c>
      <c r="O326" s="3" t="s">
        <v>400</v>
      </c>
    </row>
    <row r="327" customFormat="false" ht="15" hidden="false" customHeight="false" outlineLevel="0" collapsed="false">
      <c r="A327" s="3" t="s">
        <v>411</v>
      </c>
      <c r="B327" s="3" t="s">
        <v>126</v>
      </c>
      <c r="C327" s="3" t="s">
        <v>90</v>
      </c>
      <c r="D327" s="3" t="s">
        <v>396</v>
      </c>
      <c r="E327" s="3" t="s">
        <v>393</v>
      </c>
      <c r="F327" s="3" t="n">
        <v>493</v>
      </c>
      <c r="G327" s="3" t="n">
        <v>448</v>
      </c>
      <c r="H327" s="3" t="n">
        <v>113</v>
      </c>
      <c r="I327" s="3" t="n">
        <v>459.44</v>
      </c>
      <c r="J327" s="3" t="n">
        <v>41.55</v>
      </c>
      <c r="K327" s="3" t="n">
        <v>15</v>
      </c>
      <c r="L327" s="3" t="s">
        <v>394</v>
      </c>
      <c r="M327" s="3" t="n">
        <v>0</v>
      </c>
      <c r="N327" s="3" t="n">
        <v>44.02</v>
      </c>
      <c r="O327" s="3" t="s">
        <v>404</v>
      </c>
    </row>
    <row r="328" customFormat="false" ht="15" hidden="false" customHeight="false" outlineLevel="0" collapsed="false">
      <c r="A328" s="3" t="s">
        <v>411</v>
      </c>
      <c r="B328" s="3" t="s">
        <v>126</v>
      </c>
      <c r="C328" s="3" t="s">
        <v>92</v>
      </c>
      <c r="D328" s="3" t="s">
        <v>396</v>
      </c>
      <c r="E328" s="3" t="s">
        <v>403</v>
      </c>
      <c r="F328" s="3" t="n">
        <v>289</v>
      </c>
      <c r="G328" s="3" t="n">
        <v>11</v>
      </c>
      <c r="H328" s="3" t="n">
        <v>21</v>
      </c>
      <c r="I328" s="3" t="n">
        <v>26.96</v>
      </c>
      <c r="J328" s="3" t="n">
        <v>58.13</v>
      </c>
      <c r="K328" s="3" t="n">
        <v>0</v>
      </c>
      <c r="L328" s="3" t="s">
        <v>398</v>
      </c>
      <c r="M328" s="3" t="n">
        <v>1</v>
      </c>
      <c r="N328" s="3" t="n">
        <v>61.63</v>
      </c>
      <c r="O328" s="3" t="s">
        <v>400</v>
      </c>
    </row>
    <row r="329" customFormat="false" ht="15" hidden="false" customHeight="false" outlineLevel="0" collapsed="false">
      <c r="A329" s="3" t="s">
        <v>411</v>
      </c>
      <c r="B329" s="3" t="s">
        <v>126</v>
      </c>
      <c r="C329" s="3" t="s">
        <v>94</v>
      </c>
      <c r="D329" s="3" t="s">
        <v>392</v>
      </c>
      <c r="E329" s="3" t="s">
        <v>403</v>
      </c>
      <c r="F329" s="3" t="n">
        <v>425</v>
      </c>
      <c r="G329" s="3" t="n">
        <v>390</v>
      </c>
      <c r="H329" s="3" t="n">
        <v>175</v>
      </c>
      <c r="I329" s="3" t="n">
        <v>407.4</v>
      </c>
      <c r="J329" s="3" t="n">
        <v>25.67</v>
      </c>
      <c r="K329" s="3" t="n">
        <v>10</v>
      </c>
      <c r="L329" s="3" t="s">
        <v>408</v>
      </c>
      <c r="M329" s="3" t="n">
        <v>0</v>
      </c>
      <c r="N329" s="3" t="n">
        <v>23.55</v>
      </c>
      <c r="O329" s="3" t="s">
        <v>407</v>
      </c>
    </row>
    <row r="330" customFormat="false" ht="15" hidden="false" customHeight="false" outlineLevel="0" collapsed="false">
      <c r="A330" s="3" t="s">
        <v>411</v>
      </c>
      <c r="B330" s="3" t="s">
        <v>126</v>
      </c>
      <c r="C330" s="3" t="s">
        <v>96</v>
      </c>
      <c r="D330" s="3" t="s">
        <v>406</v>
      </c>
      <c r="E330" s="3" t="s">
        <v>399</v>
      </c>
      <c r="F330" s="3" t="n">
        <v>118</v>
      </c>
      <c r="G330" s="3" t="n">
        <v>81</v>
      </c>
      <c r="H330" s="3" t="n">
        <v>139</v>
      </c>
      <c r="I330" s="3" t="n">
        <v>88.67</v>
      </c>
      <c r="J330" s="3" t="n">
        <v>33.96</v>
      </c>
      <c r="K330" s="3" t="n">
        <v>0</v>
      </c>
      <c r="L330" s="3" t="s">
        <v>398</v>
      </c>
      <c r="M330" s="3" t="n">
        <v>0</v>
      </c>
      <c r="N330" s="3" t="n">
        <v>29.22</v>
      </c>
      <c r="O330" s="3" t="s">
        <v>400</v>
      </c>
    </row>
    <row r="331" customFormat="false" ht="15" hidden="false" customHeight="false" outlineLevel="0" collapsed="false">
      <c r="A331" s="3" t="s">
        <v>411</v>
      </c>
      <c r="B331" s="3" t="s">
        <v>126</v>
      </c>
      <c r="C331" s="3" t="s">
        <v>98</v>
      </c>
      <c r="D331" s="3" t="s">
        <v>402</v>
      </c>
      <c r="E331" s="3" t="s">
        <v>393</v>
      </c>
      <c r="F331" s="3" t="n">
        <v>449</v>
      </c>
      <c r="G331" s="3" t="n">
        <v>121</v>
      </c>
      <c r="H331" s="3" t="n">
        <v>118</v>
      </c>
      <c r="I331" s="3" t="n">
        <v>132.54</v>
      </c>
      <c r="J331" s="3" t="n">
        <v>81.35</v>
      </c>
      <c r="K331" s="3" t="n">
        <v>20</v>
      </c>
      <c r="L331" s="3" t="s">
        <v>401</v>
      </c>
      <c r="M331" s="3" t="n">
        <v>0</v>
      </c>
      <c r="N331" s="3" t="n">
        <v>82.18</v>
      </c>
      <c r="O331" s="3" t="s">
        <v>407</v>
      </c>
    </row>
    <row r="332" customFormat="false" ht="15" hidden="false" customHeight="false" outlineLevel="0" collapsed="false">
      <c r="A332" s="3" t="s">
        <v>411</v>
      </c>
      <c r="B332" s="3" t="s">
        <v>126</v>
      </c>
      <c r="C332" s="3" t="s">
        <v>100</v>
      </c>
      <c r="D332" s="3" t="s">
        <v>392</v>
      </c>
      <c r="E332" s="3" t="s">
        <v>399</v>
      </c>
      <c r="F332" s="3" t="n">
        <v>184</v>
      </c>
      <c r="G332" s="3" t="n">
        <v>44</v>
      </c>
      <c r="H332" s="3" t="n">
        <v>152</v>
      </c>
      <c r="I332" s="3" t="n">
        <v>52.26</v>
      </c>
      <c r="J332" s="3" t="n">
        <v>57.34</v>
      </c>
      <c r="K332" s="3" t="n">
        <v>20</v>
      </c>
      <c r="L332" s="3" t="s">
        <v>394</v>
      </c>
      <c r="M332" s="3" t="n">
        <v>0</v>
      </c>
      <c r="N332" s="3" t="n">
        <v>56.99</v>
      </c>
      <c r="O332" s="3" t="s">
        <v>407</v>
      </c>
    </row>
    <row r="333" customFormat="false" ht="15" hidden="false" customHeight="false" outlineLevel="0" collapsed="false">
      <c r="A333" s="3" t="s">
        <v>411</v>
      </c>
      <c r="B333" s="3" t="s">
        <v>126</v>
      </c>
      <c r="C333" s="3" t="s">
        <v>102</v>
      </c>
      <c r="D333" s="3" t="s">
        <v>396</v>
      </c>
      <c r="E333" s="3" t="s">
        <v>403</v>
      </c>
      <c r="F333" s="3" t="n">
        <v>239</v>
      </c>
      <c r="G333" s="3" t="n">
        <v>88</v>
      </c>
      <c r="H333" s="3" t="n">
        <v>31</v>
      </c>
      <c r="I333" s="3" t="n">
        <v>104.13</v>
      </c>
      <c r="J333" s="3" t="n">
        <v>50.36</v>
      </c>
      <c r="K333" s="3" t="n">
        <v>15</v>
      </c>
      <c r="L333" s="3" t="s">
        <v>401</v>
      </c>
      <c r="M333" s="3" t="n">
        <v>0</v>
      </c>
      <c r="N333" s="3" t="n">
        <v>47.77</v>
      </c>
      <c r="O333" s="3" t="s">
        <v>404</v>
      </c>
    </row>
    <row r="334" customFormat="false" ht="15" hidden="false" customHeight="false" outlineLevel="0" collapsed="false">
      <c r="A334" s="3" t="s">
        <v>411</v>
      </c>
      <c r="B334" s="3" t="s">
        <v>126</v>
      </c>
      <c r="C334" s="3" t="s">
        <v>104</v>
      </c>
      <c r="D334" s="3" t="s">
        <v>392</v>
      </c>
      <c r="E334" s="3" t="s">
        <v>399</v>
      </c>
      <c r="F334" s="3" t="n">
        <v>216</v>
      </c>
      <c r="G334" s="3" t="n">
        <v>142</v>
      </c>
      <c r="H334" s="3" t="n">
        <v>172</v>
      </c>
      <c r="I334" s="3" t="n">
        <v>138.75</v>
      </c>
      <c r="J334" s="3" t="n">
        <v>51.34</v>
      </c>
      <c r="K334" s="3" t="n">
        <v>15</v>
      </c>
      <c r="L334" s="3" t="s">
        <v>394</v>
      </c>
      <c r="M334" s="3" t="n">
        <v>1</v>
      </c>
      <c r="N334" s="3" t="n">
        <v>53.35</v>
      </c>
      <c r="O334" s="3" t="s">
        <v>395</v>
      </c>
    </row>
    <row r="335" customFormat="false" ht="15" hidden="false" customHeight="false" outlineLevel="0" collapsed="false">
      <c r="A335" s="3" t="s">
        <v>411</v>
      </c>
      <c r="B335" s="3" t="s">
        <v>126</v>
      </c>
      <c r="C335" s="3" t="s">
        <v>106</v>
      </c>
      <c r="D335" s="3" t="s">
        <v>396</v>
      </c>
      <c r="E335" s="3" t="s">
        <v>393</v>
      </c>
      <c r="F335" s="3" t="n">
        <v>291</v>
      </c>
      <c r="G335" s="3" t="n">
        <v>48</v>
      </c>
      <c r="H335" s="3" t="n">
        <v>69</v>
      </c>
      <c r="I335" s="3" t="n">
        <v>48.65</v>
      </c>
      <c r="J335" s="3" t="n">
        <v>13.09</v>
      </c>
      <c r="K335" s="3" t="n">
        <v>20</v>
      </c>
      <c r="L335" s="3" t="s">
        <v>408</v>
      </c>
      <c r="M335" s="3" t="n">
        <v>1</v>
      </c>
      <c r="N335" s="3" t="n">
        <v>11.98</v>
      </c>
      <c r="O335" s="3" t="s">
        <v>400</v>
      </c>
    </row>
    <row r="336" customFormat="false" ht="15" hidden="false" customHeight="false" outlineLevel="0" collapsed="false">
      <c r="A336" s="3" t="s">
        <v>411</v>
      </c>
      <c r="B336" s="3" t="s">
        <v>126</v>
      </c>
      <c r="C336" s="3" t="s">
        <v>108</v>
      </c>
      <c r="D336" s="3" t="s">
        <v>402</v>
      </c>
      <c r="E336" s="3" t="s">
        <v>393</v>
      </c>
      <c r="F336" s="3" t="n">
        <v>74</v>
      </c>
      <c r="G336" s="3" t="n">
        <v>61</v>
      </c>
      <c r="H336" s="3" t="n">
        <v>87</v>
      </c>
      <c r="I336" s="3" t="n">
        <v>67.72</v>
      </c>
      <c r="J336" s="3" t="n">
        <v>94.85</v>
      </c>
      <c r="K336" s="3" t="n">
        <v>0</v>
      </c>
      <c r="L336" s="3" t="s">
        <v>401</v>
      </c>
      <c r="M336" s="3" t="n">
        <v>0</v>
      </c>
      <c r="N336" s="3" t="n">
        <v>93.92</v>
      </c>
      <c r="O336" s="3" t="s">
        <v>404</v>
      </c>
    </row>
    <row r="337" customFormat="false" ht="15" hidden="false" customHeight="false" outlineLevel="0" collapsed="false">
      <c r="A337" s="3" t="s">
        <v>411</v>
      </c>
      <c r="B337" s="3" t="s">
        <v>126</v>
      </c>
      <c r="C337" s="3" t="s">
        <v>110</v>
      </c>
      <c r="D337" s="3" t="s">
        <v>402</v>
      </c>
      <c r="E337" s="3" t="s">
        <v>403</v>
      </c>
      <c r="F337" s="3" t="n">
        <v>429</v>
      </c>
      <c r="G337" s="3" t="n">
        <v>140</v>
      </c>
      <c r="H337" s="3" t="n">
        <v>180</v>
      </c>
      <c r="I337" s="3" t="n">
        <v>151.22</v>
      </c>
      <c r="J337" s="3" t="n">
        <v>16.47</v>
      </c>
      <c r="K337" s="3" t="n">
        <v>5</v>
      </c>
      <c r="L337" s="3" t="s">
        <v>398</v>
      </c>
      <c r="M337" s="3" t="n">
        <v>0</v>
      </c>
      <c r="N337" s="3" t="n">
        <v>17.47</v>
      </c>
      <c r="O337" s="3" t="s">
        <v>400</v>
      </c>
    </row>
    <row r="338" customFormat="false" ht="15" hidden="false" customHeight="false" outlineLevel="0" collapsed="false">
      <c r="A338" s="3" t="s">
        <v>411</v>
      </c>
      <c r="B338" s="3" t="s">
        <v>126</v>
      </c>
      <c r="C338" s="3" t="s">
        <v>112</v>
      </c>
      <c r="D338" s="3" t="s">
        <v>396</v>
      </c>
      <c r="E338" s="3" t="s">
        <v>399</v>
      </c>
      <c r="F338" s="3" t="n">
        <v>467</v>
      </c>
      <c r="G338" s="3" t="n">
        <v>390</v>
      </c>
      <c r="H338" s="3" t="n">
        <v>188</v>
      </c>
      <c r="I338" s="3" t="n">
        <v>408.18</v>
      </c>
      <c r="J338" s="3" t="n">
        <v>82.15</v>
      </c>
      <c r="K338" s="3" t="n">
        <v>15</v>
      </c>
      <c r="L338" s="3" t="s">
        <v>401</v>
      </c>
      <c r="M338" s="3" t="n">
        <v>1</v>
      </c>
      <c r="N338" s="3" t="n">
        <v>79.63</v>
      </c>
      <c r="O338" s="3" t="s">
        <v>400</v>
      </c>
    </row>
    <row r="339" customFormat="false" ht="15" hidden="false" customHeight="false" outlineLevel="0" collapsed="false">
      <c r="A339" s="3" t="s">
        <v>411</v>
      </c>
      <c r="B339" s="3" t="s">
        <v>126</v>
      </c>
      <c r="C339" s="3" t="s">
        <v>114</v>
      </c>
      <c r="D339" s="3" t="s">
        <v>396</v>
      </c>
      <c r="E339" s="3" t="s">
        <v>393</v>
      </c>
      <c r="F339" s="3" t="n">
        <v>121</v>
      </c>
      <c r="G339" s="3" t="n">
        <v>91</v>
      </c>
      <c r="H339" s="3" t="n">
        <v>197</v>
      </c>
      <c r="I339" s="3" t="n">
        <v>93.99</v>
      </c>
      <c r="J339" s="3" t="n">
        <v>61.13</v>
      </c>
      <c r="K339" s="3" t="n">
        <v>5</v>
      </c>
      <c r="L339" s="3" t="s">
        <v>394</v>
      </c>
      <c r="M339" s="3" t="n">
        <v>0</v>
      </c>
      <c r="N339" s="3" t="n">
        <v>62.56</v>
      </c>
      <c r="O339" s="3" t="s">
        <v>400</v>
      </c>
    </row>
    <row r="340" customFormat="false" ht="15" hidden="false" customHeight="false" outlineLevel="0" collapsed="false">
      <c r="A340" s="3" t="s">
        <v>411</v>
      </c>
      <c r="B340" s="3" t="s">
        <v>126</v>
      </c>
      <c r="C340" s="3" t="s">
        <v>116</v>
      </c>
      <c r="D340" s="3" t="s">
        <v>392</v>
      </c>
      <c r="E340" s="3" t="s">
        <v>403</v>
      </c>
      <c r="F340" s="3" t="n">
        <v>134</v>
      </c>
      <c r="G340" s="3" t="n">
        <v>32</v>
      </c>
      <c r="H340" s="3" t="n">
        <v>107</v>
      </c>
      <c r="I340" s="3" t="n">
        <v>32.03</v>
      </c>
      <c r="J340" s="3" t="n">
        <v>63.74</v>
      </c>
      <c r="K340" s="3" t="n">
        <v>10</v>
      </c>
      <c r="L340" s="3" t="s">
        <v>408</v>
      </c>
      <c r="M340" s="3" t="n">
        <v>0</v>
      </c>
      <c r="N340" s="3" t="n">
        <v>61.83</v>
      </c>
      <c r="O340" s="3" t="s">
        <v>404</v>
      </c>
    </row>
    <row r="341" customFormat="false" ht="15" hidden="false" customHeight="false" outlineLevel="0" collapsed="false">
      <c r="A341" s="3" t="s">
        <v>411</v>
      </c>
      <c r="B341" s="3" t="s">
        <v>126</v>
      </c>
      <c r="C341" s="3" t="s">
        <v>118</v>
      </c>
      <c r="D341" s="3" t="s">
        <v>402</v>
      </c>
      <c r="E341" s="3" t="s">
        <v>403</v>
      </c>
      <c r="F341" s="3" t="n">
        <v>152</v>
      </c>
      <c r="G341" s="3" t="n">
        <v>60</v>
      </c>
      <c r="H341" s="3" t="n">
        <v>92</v>
      </c>
      <c r="I341" s="3" t="n">
        <v>54.96</v>
      </c>
      <c r="J341" s="3" t="n">
        <v>66.78</v>
      </c>
      <c r="K341" s="3" t="n">
        <v>10</v>
      </c>
      <c r="L341" s="3" t="s">
        <v>408</v>
      </c>
      <c r="M341" s="3" t="n">
        <v>1</v>
      </c>
      <c r="N341" s="3" t="n">
        <v>67.89</v>
      </c>
      <c r="O341" s="3" t="s">
        <v>404</v>
      </c>
    </row>
    <row r="342" customFormat="false" ht="15" hidden="false" customHeight="false" outlineLevel="0" collapsed="false">
      <c r="A342" s="3" t="s">
        <v>411</v>
      </c>
      <c r="B342" s="3" t="s">
        <v>126</v>
      </c>
      <c r="C342" s="3" t="s">
        <v>120</v>
      </c>
      <c r="D342" s="3" t="s">
        <v>406</v>
      </c>
      <c r="E342" s="3" t="s">
        <v>397</v>
      </c>
      <c r="F342" s="3" t="n">
        <v>236</v>
      </c>
      <c r="G342" s="3" t="n">
        <v>206</v>
      </c>
      <c r="H342" s="3" t="n">
        <v>63</v>
      </c>
      <c r="I342" s="3" t="n">
        <v>220.44</v>
      </c>
      <c r="J342" s="3" t="n">
        <v>30.12</v>
      </c>
      <c r="K342" s="3" t="n">
        <v>15</v>
      </c>
      <c r="L342" s="3" t="s">
        <v>398</v>
      </c>
      <c r="M342" s="3" t="n">
        <v>1</v>
      </c>
      <c r="N342" s="3" t="n">
        <v>27.89</v>
      </c>
      <c r="O342" s="3" t="s">
        <v>404</v>
      </c>
    </row>
    <row r="343" customFormat="false" ht="15" hidden="false" customHeight="false" outlineLevel="0" collapsed="false">
      <c r="A343" s="3" t="s">
        <v>411</v>
      </c>
      <c r="B343" s="3" t="s">
        <v>126</v>
      </c>
      <c r="C343" s="3" t="s">
        <v>122</v>
      </c>
      <c r="D343" s="3" t="s">
        <v>392</v>
      </c>
      <c r="E343" s="3" t="s">
        <v>399</v>
      </c>
      <c r="F343" s="3" t="n">
        <v>253</v>
      </c>
      <c r="G343" s="3" t="n">
        <v>108</v>
      </c>
      <c r="H343" s="3" t="n">
        <v>36</v>
      </c>
      <c r="I343" s="3" t="n">
        <v>107.84</v>
      </c>
      <c r="J343" s="3" t="n">
        <v>31.26</v>
      </c>
      <c r="K343" s="3" t="n">
        <v>10</v>
      </c>
      <c r="L343" s="3" t="s">
        <v>398</v>
      </c>
      <c r="M343" s="3" t="n">
        <v>1</v>
      </c>
      <c r="N343" s="3" t="n">
        <v>33.52</v>
      </c>
      <c r="O343" s="3" t="s">
        <v>400</v>
      </c>
    </row>
    <row r="344" customFormat="false" ht="15" hidden="false" customHeight="false" outlineLevel="0" collapsed="false">
      <c r="A344" s="3" t="s">
        <v>411</v>
      </c>
      <c r="B344" s="3" t="s">
        <v>126</v>
      </c>
      <c r="C344" s="3" t="s">
        <v>124</v>
      </c>
      <c r="D344" s="3" t="s">
        <v>405</v>
      </c>
      <c r="E344" s="3" t="s">
        <v>403</v>
      </c>
      <c r="F344" s="3" t="n">
        <v>403</v>
      </c>
      <c r="G344" s="3" t="n">
        <v>349</v>
      </c>
      <c r="H344" s="3" t="n">
        <v>42</v>
      </c>
      <c r="I344" s="3" t="n">
        <v>340.49</v>
      </c>
      <c r="J344" s="3" t="n">
        <v>21.47</v>
      </c>
      <c r="K344" s="3" t="n">
        <v>0</v>
      </c>
      <c r="L344" s="3" t="s">
        <v>394</v>
      </c>
      <c r="M344" s="3" t="n">
        <v>0</v>
      </c>
      <c r="N344" s="3" t="n">
        <v>17.22</v>
      </c>
      <c r="O344" s="3" t="s">
        <v>404</v>
      </c>
    </row>
    <row r="345" customFormat="false" ht="15" hidden="false" customHeight="false" outlineLevel="0" collapsed="false">
      <c r="A345" s="3" t="s">
        <v>411</v>
      </c>
      <c r="B345" s="3" t="s">
        <v>147</v>
      </c>
      <c r="C345" s="3" t="s">
        <v>86</v>
      </c>
      <c r="D345" s="3" t="s">
        <v>405</v>
      </c>
      <c r="E345" s="3" t="s">
        <v>397</v>
      </c>
      <c r="F345" s="3" t="n">
        <v>335</v>
      </c>
      <c r="G345" s="3" t="n">
        <v>271</v>
      </c>
      <c r="H345" s="3" t="n">
        <v>147</v>
      </c>
      <c r="I345" s="3" t="n">
        <v>276.13</v>
      </c>
      <c r="J345" s="3" t="n">
        <v>81.01</v>
      </c>
      <c r="K345" s="3" t="n">
        <v>20</v>
      </c>
      <c r="L345" s="3" t="s">
        <v>394</v>
      </c>
      <c r="M345" s="3" t="n">
        <v>0</v>
      </c>
      <c r="N345" s="3" t="n">
        <v>83.63</v>
      </c>
      <c r="O345" s="3" t="s">
        <v>400</v>
      </c>
    </row>
    <row r="346" customFormat="false" ht="15" hidden="false" customHeight="false" outlineLevel="0" collapsed="false">
      <c r="A346" s="3" t="s">
        <v>411</v>
      </c>
      <c r="B346" s="3" t="s">
        <v>147</v>
      </c>
      <c r="C346" s="3" t="s">
        <v>88</v>
      </c>
      <c r="D346" s="3" t="s">
        <v>402</v>
      </c>
      <c r="E346" s="3" t="s">
        <v>397</v>
      </c>
      <c r="F346" s="3" t="n">
        <v>293</v>
      </c>
      <c r="G346" s="3" t="n">
        <v>202</v>
      </c>
      <c r="H346" s="3" t="n">
        <v>130</v>
      </c>
      <c r="I346" s="3" t="n">
        <v>215.12</v>
      </c>
      <c r="J346" s="3" t="n">
        <v>59.97</v>
      </c>
      <c r="K346" s="3" t="n">
        <v>5</v>
      </c>
      <c r="L346" s="3" t="s">
        <v>408</v>
      </c>
      <c r="M346" s="3" t="n">
        <v>1</v>
      </c>
      <c r="N346" s="3" t="n">
        <v>61.76</v>
      </c>
      <c r="O346" s="3" t="s">
        <v>407</v>
      </c>
    </row>
    <row r="347" customFormat="false" ht="15" hidden="false" customHeight="false" outlineLevel="0" collapsed="false">
      <c r="A347" s="3" t="s">
        <v>411</v>
      </c>
      <c r="B347" s="3" t="s">
        <v>147</v>
      </c>
      <c r="C347" s="3" t="s">
        <v>90</v>
      </c>
      <c r="D347" s="3" t="s">
        <v>396</v>
      </c>
      <c r="E347" s="3" t="s">
        <v>393</v>
      </c>
      <c r="F347" s="3" t="n">
        <v>169</v>
      </c>
      <c r="G347" s="3" t="n">
        <v>34</v>
      </c>
      <c r="H347" s="3" t="n">
        <v>91</v>
      </c>
      <c r="I347" s="3" t="n">
        <v>24.17</v>
      </c>
      <c r="J347" s="3" t="n">
        <v>26.87</v>
      </c>
      <c r="K347" s="3" t="n">
        <v>10</v>
      </c>
      <c r="L347" s="3" t="s">
        <v>408</v>
      </c>
      <c r="M347" s="3" t="n">
        <v>0</v>
      </c>
      <c r="N347" s="3" t="n">
        <v>30.53</v>
      </c>
      <c r="O347" s="3" t="s">
        <v>400</v>
      </c>
    </row>
    <row r="348" customFormat="false" ht="15" hidden="false" customHeight="false" outlineLevel="0" collapsed="false">
      <c r="A348" s="3" t="s">
        <v>411</v>
      </c>
      <c r="B348" s="3" t="s">
        <v>147</v>
      </c>
      <c r="C348" s="3" t="s">
        <v>92</v>
      </c>
      <c r="D348" s="3" t="s">
        <v>406</v>
      </c>
      <c r="E348" s="3" t="s">
        <v>399</v>
      </c>
      <c r="F348" s="3" t="n">
        <v>294</v>
      </c>
      <c r="G348" s="3" t="n">
        <v>165</v>
      </c>
      <c r="H348" s="3" t="n">
        <v>43</v>
      </c>
      <c r="I348" s="3" t="n">
        <v>164.1</v>
      </c>
      <c r="J348" s="3" t="n">
        <v>99.12</v>
      </c>
      <c r="K348" s="3" t="n">
        <v>10</v>
      </c>
      <c r="L348" s="3" t="s">
        <v>394</v>
      </c>
      <c r="M348" s="3" t="n">
        <v>0</v>
      </c>
      <c r="N348" s="3" t="n">
        <v>97.69</v>
      </c>
      <c r="O348" s="3" t="s">
        <v>400</v>
      </c>
    </row>
    <row r="349" customFormat="false" ht="15" hidden="false" customHeight="false" outlineLevel="0" collapsed="false">
      <c r="A349" s="3" t="s">
        <v>411</v>
      </c>
      <c r="B349" s="3" t="s">
        <v>147</v>
      </c>
      <c r="C349" s="3" t="s">
        <v>94</v>
      </c>
      <c r="D349" s="3" t="s">
        <v>392</v>
      </c>
      <c r="E349" s="3" t="s">
        <v>393</v>
      </c>
      <c r="F349" s="3" t="n">
        <v>69</v>
      </c>
      <c r="G349" s="3" t="n">
        <v>2</v>
      </c>
      <c r="H349" s="3" t="n">
        <v>161</v>
      </c>
      <c r="I349" s="3" t="n">
        <v>21.27</v>
      </c>
      <c r="J349" s="3" t="n">
        <v>24.29</v>
      </c>
      <c r="K349" s="3" t="n">
        <v>5</v>
      </c>
      <c r="L349" s="3" t="s">
        <v>394</v>
      </c>
      <c r="M349" s="3" t="n">
        <v>0</v>
      </c>
      <c r="N349" s="3" t="n">
        <v>25.5</v>
      </c>
      <c r="O349" s="3" t="s">
        <v>400</v>
      </c>
    </row>
    <row r="350" customFormat="false" ht="15" hidden="false" customHeight="false" outlineLevel="0" collapsed="false">
      <c r="A350" s="3" t="s">
        <v>411</v>
      </c>
      <c r="B350" s="3" t="s">
        <v>147</v>
      </c>
      <c r="C350" s="3" t="s">
        <v>96</v>
      </c>
      <c r="D350" s="3" t="s">
        <v>402</v>
      </c>
      <c r="E350" s="3" t="s">
        <v>403</v>
      </c>
      <c r="F350" s="3" t="n">
        <v>328</v>
      </c>
      <c r="G350" s="3" t="n">
        <v>308</v>
      </c>
      <c r="H350" s="3" t="n">
        <v>113</v>
      </c>
      <c r="I350" s="3" t="n">
        <v>323.67</v>
      </c>
      <c r="J350" s="3" t="n">
        <v>18.48</v>
      </c>
      <c r="K350" s="3" t="n">
        <v>0</v>
      </c>
      <c r="L350" s="3" t="s">
        <v>394</v>
      </c>
      <c r="M350" s="3" t="n">
        <v>1</v>
      </c>
      <c r="N350" s="3" t="n">
        <v>17.76</v>
      </c>
      <c r="O350" s="3" t="s">
        <v>395</v>
      </c>
    </row>
    <row r="351" customFormat="false" ht="15" hidden="false" customHeight="false" outlineLevel="0" collapsed="false">
      <c r="A351" s="3" t="s">
        <v>411</v>
      </c>
      <c r="B351" s="3" t="s">
        <v>147</v>
      </c>
      <c r="C351" s="3" t="s">
        <v>98</v>
      </c>
      <c r="D351" s="3" t="s">
        <v>396</v>
      </c>
      <c r="E351" s="3" t="s">
        <v>393</v>
      </c>
      <c r="F351" s="3" t="n">
        <v>173</v>
      </c>
      <c r="G351" s="3" t="n">
        <v>76</v>
      </c>
      <c r="H351" s="3" t="n">
        <v>157</v>
      </c>
      <c r="I351" s="3" t="n">
        <v>75.54</v>
      </c>
      <c r="J351" s="3" t="n">
        <v>54.73</v>
      </c>
      <c r="K351" s="3" t="n">
        <v>10</v>
      </c>
      <c r="L351" s="3" t="s">
        <v>408</v>
      </c>
      <c r="M351" s="3" t="n">
        <v>1</v>
      </c>
      <c r="N351" s="3" t="n">
        <v>52.32</v>
      </c>
      <c r="O351" s="3" t="s">
        <v>407</v>
      </c>
    </row>
    <row r="352" customFormat="false" ht="15" hidden="false" customHeight="false" outlineLevel="0" collapsed="false">
      <c r="A352" s="3" t="s">
        <v>411</v>
      </c>
      <c r="B352" s="3" t="s">
        <v>147</v>
      </c>
      <c r="C352" s="3" t="s">
        <v>100</v>
      </c>
      <c r="D352" s="3" t="s">
        <v>396</v>
      </c>
      <c r="E352" s="3" t="s">
        <v>403</v>
      </c>
      <c r="F352" s="3" t="n">
        <v>108</v>
      </c>
      <c r="G352" s="3" t="n">
        <v>91</v>
      </c>
      <c r="H352" s="3" t="n">
        <v>129</v>
      </c>
      <c r="I352" s="3" t="n">
        <v>95.55</v>
      </c>
      <c r="J352" s="3" t="n">
        <v>59.61</v>
      </c>
      <c r="K352" s="3" t="n">
        <v>5</v>
      </c>
      <c r="L352" s="3" t="s">
        <v>394</v>
      </c>
      <c r="M352" s="3" t="n">
        <v>1</v>
      </c>
      <c r="N352" s="3" t="n">
        <v>57.85</v>
      </c>
      <c r="O352" s="3" t="s">
        <v>400</v>
      </c>
    </row>
    <row r="353" customFormat="false" ht="15" hidden="false" customHeight="false" outlineLevel="0" collapsed="false">
      <c r="A353" s="3" t="s">
        <v>411</v>
      </c>
      <c r="B353" s="3" t="s">
        <v>147</v>
      </c>
      <c r="C353" s="3" t="s">
        <v>102</v>
      </c>
      <c r="D353" s="3" t="s">
        <v>405</v>
      </c>
      <c r="E353" s="3" t="s">
        <v>399</v>
      </c>
      <c r="F353" s="3" t="n">
        <v>494</v>
      </c>
      <c r="G353" s="3" t="n">
        <v>113</v>
      </c>
      <c r="H353" s="3" t="n">
        <v>84</v>
      </c>
      <c r="I353" s="3" t="n">
        <v>121.8</v>
      </c>
      <c r="J353" s="3" t="n">
        <v>14.64</v>
      </c>
      <c r="K353" s="3" t="n">
        <v>20</v>
      </c>
      <c r="L353" s="3" t="s">
        <v>401</v>
      </c>
      <c r="M353" s="3" t="n">
        <v>1</v>
      </c>
      <c r="N353" s="3" t="n">
        <v>12.8</v>
      </c>
      <c r="O353" s="3" t="s">
        <v>407</v>
      </c>
    </row>
    <row r="354" customFormat="false" ht="15" hidden="false" customHeight="false" outlineLevel="0" collapsed="false">
      <c r="A354" s="3" t="s">
        <v>411</v>
      </c>
      <c r="B354" s="3" t="s">
        <v>147</v>
      </c>
      <c r="C354" s="3" t="s">
        <v>104</v>
      </c>
      <c r="D354" s="3" t="s">
        <v>402</v>
      </c>
      <c r="E354" s="3" t="s">
        <v>403</v>
      </c>
      <c r="F354" s="3" t="n">
        <v>366</v>
      </c>
      <c r="G354" s="3" t="n">
        <v>274</v>
      </c>
      <c r="H354" s="3" t="n">
        <v>102</v>
      </c>
      <c r="I354" s="3" t="n">
        <v>268.6</v>
      </c>
      <c r="J354" s="3" t="n">
        <v>63.63</v>
      </c>
      <c r="K354" s="3" t="n">
        <v>15</v>
      </c>
      <c r="L354" s="3" t="s">
        <v>401</v>
      </c>
      <c r="M354" s="3" t="n">
        <v>1</v>
      </c>
      <c r="N354" s="3" t="n">
        <v>62.96</v>
      </c>
      <c r="O354" s="3" t="s">
        <v>404</v>
      </c>
    </row>
    <row r="355" customFormat="false" ht="15" hidden="false" customHeight="false" outlineLevel="0" collapsed="false">
      <c r="A355" s="3" t="s">
        <v>411</v>
      </c>
      <c r="B355" s="3" t="s">
        <v>147</v>
      </c>
      <c r="C355" s="3" t="s">
        <v>106</v>
      </c>
      <c r="D355" s="3" t="s">
        <v>396</v>
      </c>
      <c r="E355" s="3" t="s">
        <v>403</v>
      </c>
      <c r="F355" s="3" t="n">
        <v>441</v>
      </c>
      <c r="G355" s="3" t="n">
        <v>116</v>
      </c>
      <c r="H355" s="3" t="n">
        <v>52</v>
      </c>
      <c r="I355" s="3" t="n">
        <v>128.01</v>
      </c>
      <c r="J355" s="3" t="n">
        <v>95.99</v>
      </c>
      <c r="K355" s="3" t="n">
        <v>10</v>
      </c>
      <c r="L355" s="3" t="s">
        <v>398</v>
      </c>
      <c r="M355" s="3" t="n">
        <v>0</v>
      </c>
      <c r="N355" s="3" t="n">
        <v>95.78</v>
      </c>
      <c r="O355" s="3" t="s">
        <v>395</v>
      </c>
    </row>
    <row r="356" customFormat="false" ht="15" hidden="false" customHeight="false" outlineLevel="0" collapsed="false">
      <c r="A356" s="3" t="s">
        <v>411</v>
      </c>
      <c r="B356" s="3" t="s">
        <v>147</v>
      </c>
      <c r="C356" s="3" t="s">
        <v>108</v>
      </c>
      <c r="D356" s="3" t="s">
        <v>402</v>
      </c>
      <c r="E356" s="3" t="s">
        <v>393</v>
      </c>
      <c r="F356" s="3" t="n">
        <v>181</v>
      </c>
      <c r="G356" s="3" t="n">
        <v>5</v>
      </c>
      <c r="H356" s="3" t="n">
        <v>37</v>
      </c>
      <c r="I356" s="3" t="n">
        <v>18.13</v>
      </c>
      <c r="J356" s="3" t="n">
        <v>75.41</v>
      </c>
      <c r="K356" s="3" t="n">
        <v>5</v>
      </c>
      <c r="L356" s="3" t="s">
        <v>394</v>
      </c>
      <c r="M356" s="3" t="n">
        <v>1</v>
      </c>
      <c r="N356" s="3" t="n">
        <v>75.03</v>
      </c>
      <c r="O356" s="3" t="s">
        <v>400</v>
      </c>
    </row>
    <row r="357" customFormat="false" ht="15" hidden="false" customHeight="false" outlineLevel="0" collapsed="false">
      <c r="A357" s="3" t="s">
        <v>411</v>
      </c>
      <c r="B357" s="3" t="s">
        <v>147</v>
      </c>
      <c r="C357" s="3" t="s">
        <v>110</v>
      </c>
      <c r="D357" s="3" t="s">
        <v>405</v>
      </c>
      <c r="E357" s="3" t="s">
        <v>403</v>
      </c>
      <c r="F357" s="3" t="n">
        <v>330</v>
      </c>
      <c r="G357" s="3" t="n">
        <v>115</v>
      </c>
      <c r="H357" s="3" t="n">
        <v>116</v>
      </c>
      <c r="I357" s="3" t="n">
        <v>111.27</v>
      </c>
      <c r="J357" s="3" t="n">
        <v>24.19</v>
      </c>
      <c r="K357" s="3" t="n">
        <v>15</v>
      </c>
      <c r="L357" s="3" t="s">
        <v>394</v>
      </c>
      <c r="M357" s="3" t="n">
        <v>1</v>
      </c>
      <c r="N357" s="3" t="n">
        <v>28.03</v>
      </c>
      <c r="O357" s="3" t="s">
        <v>395</v>
      </c>
    </row>
    <row r="358" customFormat="false" ht="15" hidden="false" customHeight="false" outlineLevel="0" collapsed="false">
      <c r="A358" s="3" t="s">
        <v>411</v>
      </c>
      <c r="B358" s="3" t="s">
        <v>147</v>
      </c>
      <c r="C358" s="3" t="s">
        <v>112</v>
      </c>
      <c r="D358" s="3" t="s">
        <v>406</v>
      </c>
      <c r="E358" s="3" t="s">
        <v>403</v>
      </c>
      <c r="F358" s="3" t="n">
        <v>228</v>
      </c>
      <c r="G358" s="3" t="n">
        <v>79</v>
      </c>
      <c r="H358" s="3" t="n">
        <v>158</v>
      </c>
      <c r="I358" s="3" t="n">
        <v>75.88</v>
      </c>
      <c r="J358" s="3" t="n">
        <v>85.33</v>
      </c>
      <c r="K358" s="3" t="n">
        <v>0</v>
      </c>
      <c r="L358" s="3" t="s">
        <v>398</v>
      </c>
      <c r="M358" s="3" t="n">
        <v>1</v>
      </c>
      <c r="N358" s="3" t="n">
        <v>82.64</v>
      </c>
      <c r="O358" s="3" t="s">
        <v>407</v>
      </c>
    </row>
    <row r="359" customFormat="false" ht="15" hidden="false" customHeight="false" outlineLevel="0" collapsed="false">
      <c r="A359" s="3" t="s">
        <v>411</v>
      </c>
      <c r="B359" s="3" t="s">
        <v>147</v>
      </c>
      <c r="C359" s="3" t="s">
        <v>114</v>
      </c>
      <c r="D359" s="3" t="s">
        <v>402</v>
      </c>
      <c r="E359" s="3" t="s">
        <v>403</v>
      </c>
      <c r="F359" s="3" t="n">
        <v>344</v>
      </c>
      <c r="G359" s="3" t="n">
        <v>223</v>
      </c>
      <c r="H359" s="3" t="n">
        <v>53</v>
      </c>
      <c r="I359" s="3" t="n">
        <v>235.42</v>
      </c>
      <c r="J359" s="3" t="n">
        <v>15.58</v>
      </c>
      <c r="K359" s="3" t="n">
        <v>15</v>
      </c>
      <c r="L359" s="3" t="s">
        <v>401</v>
      </c>
      <c r="M359" s="3" t="n">
        <v>0</v>
      </c>
      <c r="N359" s="3" t="n">
        <v>19.75</v>
      </c>
      <c r="O359" s="3" t="s">
        <v>404</v>
      </c>
    </row>
    <row r="360" customFormat="false" ht="15" hidden="false" customHeight="false" outlineLevel="0" collapsed="false">
      <c r="A360" s="3" t="s">
        <v>411</v>
      </c>
      <c r="B360" s="3" t="s">
        <v>147</v>
      </c>
      <c r="C360" s="3" t="s">
        <v>116</v>
      </c>
      <c r="D360" s="3" t="s">
        <v>405</v>
      </c>
      <c r="E360" s="3" t="s">
        <v>399</v>
      </c>
      <c r="F360" s="3" t="n">
        <v>336</v>
      </c>
      <c r="G360" s="3" t="n">
        <v>258</v>
      </c>
      <c r="H360" s="3" t="n">
        <v>175</v>
      </c>
      <c r="I360" s="3" t="n">
        <v>260.26</v>
      </c>
      <c r="J360" s="3" t="n">
        <v>19.63</v>
      </c>
      <c r="K360" s="3" t="n">
        <v>10</v>
      </c>
      <c r="L360" s="3" t="s">
        <v>401</v>
      </c>
      <c r="M360" s="3" t="n">
        <v>1</v>
      </c>
      <c r="N360" s="3" t="n">
        <v>20.65</v>
      </c>
      <c r="O360" s="3" t="s">
        <v>400</v>
      </c>
    </row>
    <row r="361" customFormat="false" ht="15" hidden="false" customHeight="false" outlineLevel="0" collapsed="false">
      <c r="A361" s="3" t="s">
        <v>411</v>
      </c>
      <c r="B361" s="3" t="s">
        <v>147</v>
      </c>
      <c r="C361" s="3" t="s">
        <v>118</v>
      </c>
      <c r="D361" s="3" t="s">
        <v>396</v>
      </c>
      <c r="E361" s="3" t="s">
        <v>399</v>
      </c>
      <c r="F361" s="3" t="n">
        <v>355</v>
      </c>
      <c r="G361" s="3" t="n">
        <v>236</v>
      </c>
      <c r="H361" s="3" t="n">
        <v>26</v>
      </c>
      <c r="I361" s="3" t="n">
        <v>248.1</v>
      </c>
      <c r="J361" s="3" t="n">
        <v>53.81</v>
      </c>
      <c r="K361" s="3" t="n">
        <v>0</v>
      </c>
      <c r="L361" s="3" t="s">
        <v>394</v>
      </c>
      <c r="M361" s="3" t="n">
        <v>0</v>
      </c>
      <c r="N361" s="3" t="n">
        <v>49.72</v>
      </c>
      <c r="O361" s="3" t="s">
        <v>404</v>
      </c>
    </row>
    <row r="362" customFormat="false" ht="15" hidden="false" customHeight="false" outlineLevel="0" collapsed="false">
      <c r="A362" s="3" t="s">
        <v>411</v>
      </c>
      <c r="B362" s="3" t="s">
        <v>147</v>
      </c>
      <c r="C362" s="3" t="s">
        <v>120</v>
      </c>
      <c r="D362" s="3" t="s">
        <v>396</v>
      </c>
      <c r="E362" s="3" t="s">
        <v>393</v>
      </c>
      <c r="F362" s="3" t="n">
        <v>431</v>
      </c>
      <c r="G362" s="3" t="n">
        <v>309</v>
      </c>
      <c r="H362" s="3" t="n">
        <v>165</v>
      </c>
      <c r="I362" s="3" t="n">
        <v>323.61</v>
      </c>
      <c r="J362" s="3" t="n">
        <v>37.49</v>
      </c>
      <c r="K362" s="3" t="n">
        <v>20</v>
      </c>
      <c r="L362" s="3" t="s">
        <v>401</v>
      </c>
      <c r="M362" s="3" t="n">
        <v>0</v>
      </c>
      <c r="N362" s="3" t="n">
        <v>40.66</v>
      </c>
      <c r="O362" s="3" t="s">
        <v>395</v>
      </c>
    </row>
    <row r="363" customFormat="false" ht="15" hidden="false" customHeight="false" outlineLevel="0" collapsed="false">
      <c r="A363" s="3" t="s">
        <v>411</v>
      </c>
      <c r="B363" s="3" t="s">
        <v>147</v>
      </c>
      <c r="C363" s="3" t="s">
        <v>122</v>
      </c>
      <c r="D363" s="3" t="s">
        <v>392</v>
      </c>
      <c r="E363" s="3" t="s">
        <v>393</v>
      </c>
      <c r="F363" s="3" t="n">
        <v>172</v>
      </c>
      <c r="G363" s="3" t="n">
        <v>32</v>
      </c>
      <c r="H363" s="3" t="n">
        <v>160</v>
      </c>
      <c r="I363" s="3" t="n">
        <v>26.96</v>
      </c>
      <c r="J363" s="3" t="n">
        <v>38.2</v>
      </c>
      <c r="K363" s="3" t="n">
        <v>0</v>
      </c>
      <c r="L363" s="3" t="s">
        <v>394</v>
      </c>
      <c r="M363" s="3" t="n">
        <v>0</v>
      </c>
      <c r="N363" s="3" t="n">
        <v>38.42</v>
      </c>
      <c r="O363" s="3" t="s">
        <v>400</v>
      </c>
    </row>
    <row r="364" customFormat="false" ht="15" hidden="false" customHeight="false" outlineLevel="0" collapsed="false">
      <c r="A364" s="3" t="s">
        <v>411</v>
      </c>
      <c r="B364" s="3" t="s">
        <v>147</v>
      </c>
      <c r="C364" s="3" t="s">
        <v>124</v>
      </c>
      <c r="D364" s="3" t="s">
        <v>406</v>
      </c>
      <c r="E364" s="3" t="s">
        <v>397</v>
      </c>
      <c r="F364" s="3" t="n">
        <v>145</v>
      </c>
      <c r="G364" s="3" t="n">
        <v>44</v>
      </c>
      <c r="H364" s="3" t="n">
        <v>122</v>
      </c>
      <c r="I364" s="3" t="n">
        <v>43.44</v>
      </c>
      <c r="J364" s="3" t="n">
        <v>84.13</v>
      </c>
      <c r="K364" s="3" t="n">
        <v>15</v>
      </c>
      <c r="L364" s="3" t="s">
        <v>408</v>
      </c>
      <c r="M364" s="3" t="n">
        <v>1</v>
      </c>
      <c r="N364" s="3" t="n">
        <v>84.05</v>
      </c>
      <c r="O364" s="3" t="s">
        <v>404</v>
      </c>
    </row>
    <row r="365" customFormat="false" ht="15" hidden="false" customHeight="false" outlineLevel="0" collapsed="false">
      <c r="A365" s="3" t="s">
        <v>411</v>
      </c>
      <c r="B365" s="3" t="s">
        <v>168</v>
      </c>
      <c r="C365" s="3" t="s">
        <v>86</v>
      </c>
      <c r="D365" s="3" t="s">
        <v>405</v>
      </c>
      <c r="E365" s="3" t="s">
        <v>397</v>
      </c>
      <c r="F365" s="3" t="n">
        <v>487</v>
      </c>
      <c r="G365" s="3" t="n">
        <v>145</v>
      </c>
      <c r="H365" s="3" t="n">
        <v>149</v>
      </c>
      <c r="I365" s="3" t="n">
        <v>154.43</v>
      </c>
      <c r="J365" s="3" t="n">
        <v>20.39</v>
      </c>
      <c r="K365" s="3" t="n">
        <v>15</v>
      </c>
      <c r="L365" s="3" t="s">
        <v>398</v>
      </c>
      <c r="M365" s="3" t="n">
        <v>0</v>
      </c>
      <c r="N365" s="3" t="n">
        <v>21.17</v>
      </c>
      <c r="O365" s="3" t="s">
        <v>400</v>
      </c>
    </row>
    <row r="366" customFormat="false" ht="15" hidden="false" customHeight="false" outlineLevel="0" collapsed="false">
      <c r="A366" s="3" t="s">
        <v>411</v>
      </c>
      <c r="B366" s="3" t="s">
        <v>168</v>
      </c>
      <c r="C366" s="3" t="s">
        <v>88</v>
      </c>
      <c r="D366" s="3" t="s">
        <v>392</v>
      </c>
      <c r="E366" s="3" t="s">
        <v>393</v>
      </c>
      <c r="F366" s="3" t="n">
        <v>216</v>
      </c>
      <c r="G366" s="3" t="n">
        <v>150</v>
      </c>
      <c r="H366" s="3" t="n">
        <v>162</v>
      </c>
      <c r="I366" s="3" t="n">
        <v>141.65</v>
      </c>
      <c r="J366" s="3" t="n">
        <v>70.46</v>
      </c>
      <c r="K366" s="3" t="n">
        <v>20</v>
      </c>
      <c r="L366" s="3" t="s">
        <v>398</v>
      </c>
      <c r="M366" s="3" t="n">
        <v>1</v>
      </c>
      <c r="N366" s="3" t="n">
        <v>66.42</v>
      </c>
      <c r="O366" s="3" t="s">
        <v>400</v>
      </c>
    </row>
    <row r="367" customFormat="false" ht="15" hidden="false" customHeight="false" outlineLevel="0" collapsed="false">
      <c r="A367" s="3" t="s">
        <v>411</v>
      </c>
      <c r="B367" s="3" t="s">
        <v>168</v>
      </c>
      <c r="C367" s="3" t="s">
        <v>90</v>
      </c>
      <c r="D367" s="3" t="s">
        <v>396</v>
      </c>
      <c r="E367" s="3" t="s">
        <v>399</v>
      </c>
      <c r="F367" s="3" t="n">
        <v>236</v>
      </c>
      <c r="G367" s="3" t="n">
        <v>40</v>
      </c>
      <c r="H367" s="3" t="n">
        <v>104</v>
      </c>
      <c r="I367" s="3" t="n">
        <v>36.09</v>
      </c>
      <c r="J367" s="3" t="n">
        <v>53.13</v>
      </c>
      <c r="K367" s="3" t="n">
        <v>5</v>
      </c>
      <c r="L367" s="3" t="s">
        <v>408</v>
      </c>
      <c r="M367" s="3" t="n">
        <v>1</v>
      </c>
      <c r="N367" s="3" t="n">
        <v>48.66</v>
      </c>
      <c r="O367" s="3" t="s">
        <v>407</v>
      </c>
    </row>
    <row r="368" customFormat="false" ht="15" hidden="false" customHeight="false" outlineLevel="0" collapsed="false">
      <c r="A368" s="3" t="s">
        <v>411</v>
      </c>
      <c r="B368" s="3" t="s">
        <v>168</v>
      </c>
      <c r="C368" s="3" t="s">
        <v>92</v>
      </c>
      <c r="D368" s="3" t="s">
        <v>396</v>
      </c>
      <c r="E368" s="3" t="s">
        <v>399</v>
      </c>
      <c r="F368" s="3" t="n">
        <v>260</v>
      </c>
      <c r="G368" s="3" t="n">
        <v>245</v>
      </c>
      <c r="H368" s="3" t="n">
        <v>199</v>
      </c>
      <c r="I368" s="3" t="n">
        <v>256.94</v>
      </c>
      <c r="J368" s="3" t="n">
        <v>82</v>
      </c>
      <c r="K368" s="3" t="n">
        <v>10</v>
      </c>
      <c r="L368" s="3" t="s">
        <v>398</v>
      </c>
      <c r="M368" s="3" t="n">
        <v>1</v>
      </c>
      <c r="N368" s="3" t="n">
        <v>81.29</v>
      </c>
      <c r="O368" s="3" t="s">
        <v>404</v>
      </c>
    </row>
    <row r="369" customFormat="false" ht="15" hidden="false" customHeight="false" outlineLevel="0" collapsed="false">
      <c r="A369" s="3" t="s">
        <v>411</v>
      </c>
      <c r="B369" s="3" t="s">
        <v>168</v>
      </c>
      <c r="C369" s="3" t="s">
        <v>94</v>
      </c>
      <c r="D369" s="3" t="s">
        <v>405</v>
      </c>
      <c r="E369" s="3" t="s">
        <v>393</v>
      </c>
      <c r="F369" s="3" t="n">
        <v>435</v>
      </c>
      <c r="G369" s="3" t="n">
        <v>241</v>
      </c>
      <c r="H369" s="3" t="n">
        <v>160</v>
      </c>
      <c r="I369" s="3" t="n">
        <v>255.72</v>
      </c>
      <c r="J369" s="3" t="n">
        <v>75.55</v>
      </c>
      <c r="K369" s="3" t="n">
        <v>15</v>
      </c>
      <c r="L369" s="3" t="s">
        <v>408</v>
      </c>
      <c r="M369" s="3" t="n">
        <v>0</v>
      </c>
      <c r="N369" s="3" t="n">
        <v>75.67</v>
      </c>
      <c r="O369" s="3" t="s">
        <v>395</v>
      </c>
    </row>
    <row r="370" customFormat="false" ht="15" hidden="false" customHeight="false" outlineLevel="0" collapsed="false">
      <c r="A370" s="3" t="s">
        <v>411</v>
      </c>
      <c r="B370" s="3" t="s">
        <v>168</v>
      </c>
      <c r="C370" s="3" t="s">
        <v>96</v>
      </c>
      <c r="D370" s="3" t="s">
        <v>392</v>
      </c>
      <c r="E370" s="3" t="s">
        <v>397</v>
      </c>
      <c r="F370" s="3" t="n">
        <v>499</v>
      </c>
      <c r="G370" s="3" t="n">
        <v>138</v>
      </c>
      <c r="H370" s="3" t="n">
        <v>175</v>
      </c>
      <c r="I370" s="3" t="n">
        <v>128.04</v>
      </c>
      <c r="J370" s="3" t="n">
        <v>50.26</v>
      </c>
      <c r="K370" s="3" t="n">
        <v>0</v>
      </c>
      <c r="L370" s="3" t="s">
        <v>401</v>
      </c>
      <c r="M370" s="3" t="n">
        <v>1</v>
      </c>
      <c r="N370" s="3" t="n">
        <v>47.5</v>
      </c>
      <c r="O370" s="3" t="s">
        <v>395</v>
      </c>
    </row>
    <row r="371" customFormat="false" ht="15" hidden="false" customHeight="false" outlineLevel="0" collapsed="false">
      <c r="A371" s="3" t="s">
        <v>411</v>
      </c>
      <c r="B371" s="3" t="s">
        <v>168</v>
      </c>
      <c r="C371" s="3" t="s">
        <v>98</v>
      </c>
      <c r="D371" s="3" t="s">
        <v>406</v>
      </c>
      <c r="E371" s="3" t="s">
        <v>403</v>
      </c>
      <c r="F371" s="3" t="n">
        <v>180</v>
      </c>
      <c r="G371" s="3" t="n">
        <v>152</v>
      </c>
      <c r="H371" s="3" t="n">
        <v>102</v>
      </c>
      <c r="I371" s="3" t="n">
        <v>157.24</v>
      </c>
      <c r="J371" s="3" t="n">
        <v>56.58</v>
      </c>
      <c r="K371" s="3" t="n">
        <v>5</v>
      </c>
      <c r="L371" s="3" t="s">
        <v>401</v>
      </c>
      <c r="M371" s="3" t="n">
        <v>1</v>
      </c>
      <c r="N371" s="3" t="n">
        <v>52.57</v>
      </c>
      <c r="O371" s="3" t="s">
        <v>395</v>
      </c>
    </row>
    <row r="372" customFormat="false" ht="15" hidden="false" customHeight="false" outlineLevel="0" collapsed="false">
      <c r="A372" s="3" t="s">
        <v>411</v>
      </c>
      <c r="B372" s="3" t="s">
        <v>168</v>
      </c>
      <c r="C372" s="3" t="s">
        <v>100</v>
      </c>
      <c r="D372" s="3" t="s">
        <v>405</v>
      </c>
      <c r="E372" s="3" t="s">
        <v>399</v>
      </c>
      <c r="F372" s="3" t="n">
        <v>128</v>
      </c>
      <c r="G372" s="3" t="n">
        <v>12</v>
      </c>
      <c r="H372" s="3" t="n">
        <v>85</v>
      </c>
      <c r="I372" s="3" t="n">
        <v>16.36</v>
      </c>
      <c r="J372" s="3" t="n">
        <v>37.17</v>
      </c>
      <c r="K372" s="3" t="n">
        <v>10</v>
      </c>
      <c r="L372" s="3" t="s">
        <v>394</v>
      </c>
      <c r="M372" s="3" t="n">
        <v>1</v>
      </c>
      <c r="N372" s="3" t="n">
        <v>32.41</v>
      </c>
      <c r="O372" s="3" t="s">
        <v>404</v>
      </c>
    </row>
    <row r="373" customFormat="false" ht="15" hidden="false" customHeight="false" outlineLevel="0" collapsed="false">
      <c r="A373" s="3" t="s">
        <v>411</v>
      </c>
      <c r="B373" s="3" t="s">
        <v>168</v>
      </c>
      <c r="C373" s="3" t="s">
        <v>102</v>
      </c>
      <c r="D373" s="3" t="s">
        <v>405</v>
      </c>
      <c r="E373" s="3" t="s">
        <v>397</v>
      </c>
      <c r="F373" s="3" t="n">
        <v>291</v>
      </c>
      <c r="G373" s="3" t="n">
        <v>158</v>
      </c>
      <c r="H373" s="3" t="n">
        <v>35</v>
      </c>
      <c r="I373" s="3" t="n">
        <v>158.23</v>
      </c>
      <c r="J373" s="3" t="n">
        <v>82.75</v>
      </c>
      <c r="K373" s="3" t="n">
        <v>20</v>
      </c>
      <c r="L373" s="3" t="s">
        <v>398</v>
      </c>
      <c r="M373" s="3" t="n">
        <v>1</v>
      </c>
      <c r="N373" s="3" t="n">
        <v>83.85</v>
      </c>
      <c r="O373" s="3" t="s">
        <v>404</v>
      </c>
    </row>
    <row r="374" customFormat="false" ht="15" hidden="false" customHeight="false" outlineLevel="0" collapsed="false">
      <c r="A374" s="3" t="s">
        <v>411</v>
      </c>
      <c r="B374" s="3" t="s">
        <v>168</v>
      </c>
      <c r="C374" s="3" t="s">
        <v>104</v>
      </c>
      <c r="D374" s="3" t="s">
        <v>406</v>
      </c>
      <c r="E374" s="3" t="s">
        <v>393</v>
      </c>
      <c r="F374" s="3" t="n">
        <v>444</v>
      </c>
      <c r="G374" s="3" t="n">
        <v>265</v>
      </c>
      <c r="H374" s="3" t="n">
        <v>187</v>
      </c>
      <c r="I374" s="3" t="n">
        <v>264.83</v>
      </c>
      <c r="J374" s="3" t="n">
        <v>23.53</v>
      </c>
      <c r="K374" s="3" t="n">
        <v>10</v>
      </c>
      <c r="L374" s="3" t="s">
        <v>398</v>
      </c>
      <c r="M374" s="3" t="n">
        <v>1</v>
      </c>
      <c r="N374" s="3" t="n">
        <v>24.56</v>
      </c>
      <c r="O374" s="3" t="s">
        <v>407</v>
      </c>
    </row>
    <row r="375" customFormat="false" ht="15" hidden="false" customHeight="false" outlineLevel="0" collapsed="false">
      <c r="A375" s="3" t="s">
        <v>411</v>
      </c>
      <c r="B375" s="3" t="s">
        <v>168</v>
      </c>
      <c r="C375" s="3" t="s">
        <v>106</v>
      </c>
      <c r="D375" s="3" t="s">
        <v>406</v>
      </c>
      <c r="E375" s="3" t="s">
        <v>403</v>
      </c>
      <c r="F375" s="3" t="n">
        <v>281</v>
      </c>
      <c r="G375" s="3" t="n">
        <v>240</v>
      </c>
      <c r="H375" s="3" t="n">
        <v>182</v>
      </c>
      <c r="I375" s="3" t="n">
        <v>243.7</v>
      </c>
      <c r="J375" s="3" t="n">
        <v>56.3</v>
      </c>
      <c r="K375" s="3" t="n">
        <v>5</v>
      </c>
      <c r="L375" s="3" t="s">
        <v>398</v>
      </c>
      <c r="M375" s="3" t="n">
        <v>0</v>
      </c>
      <c r="N375" s="3" t="n">
        <v>60.74</v>
      </c>
      <c r="O375" s="3" t="s">
        <v>407</v>
      </c>
    </row>
    <row r="376" customFormat="false" ht="15" hidden="false" customHeight="false" outlineLevel="0" collapsed="false">
      <c r="A376" s="3" t="s">
        <v>411</v>
      </c>
      <c r="B376" s="3" t="s">
        <v>168</v>
      </c>
      <c r="C376" s="3" t="s">
        <v>108</v>
      </c>
      <c r="D376" s="3" t="s">
        <v>396</v>
      </c>
      <c r="E376" s="3" t="s">
        <v>393</v>
      </c>
      <c r="F376" s="3" t="n">
        <v>189</v>
      </c>
      <c r="G376" s="3" t="n">
        <v>153</v>
      </c>
      <c r="H376" s="3" t="n">
        <v>155</v>
      </c>
      <c r="I376" s="3" t="n">
        <v>145.17</v>
      </c>
      <c r="J376" s="3" t="n">
        <v>94.09</v>
      </c>
      <c r="K376" s="3" t="n">
        <v>5</v>
      </c>
      <c r="L376" s="3" t="s">
        <v>401</v>
      </c>
      <c r="M376" s="3" t="n">
        <v>0</v>
      </c>
      <c r="N376" s="3" t="n">
        <v>90.8</v>
      </c>
      <c r="O376" s="3" t="s">
        <v>407</v>
      </c>
    </row>
    <row r="377" customFormat="false" ht="15" hidden="false" customHeight="false" outlineLevel="0" collapsed="false">
      <c r="A377" s="3" t="s">
        <v>411</v>
      </c>
      <c r="B377" s="3" t="s">
        <v>168</v>
      </c>
      <c r="C377" s="3" t="s">
        <v>110</v>
      </c>
      <c r="D377" s="3" t="s">
        <v>392</v>
      </c>
      <c r="E377" s="3" t="s">
        <v>399</v>
      </c>
      <c r="F377" s="3" t="n">
        <v>80</v>
      </c>
      <c r="G377" s="3" t="n">
        <v>68</v>
      </c>
      <c r="H377" s="3" t="n">
        <v>48</v>
      </c>
      <c r="I377" s="3" t="n">
        <v>81.02</v>
      </c>
      <c r="J377" s="3" t="n">
        <v>24.53</v>
      </c>
      <c r="K377" s="3" t="n">
        <v>20</v>
      </c>
      <c r="L377" s="3" t="s">
        <v>408</v>
      </c>
      <c r="M377" s="3" t="n">
        <v>1</v>
      </c>
      <c r="N377" s="3" t="n">
        <v>23.7</v>
      </c>
      <c r="O377" s="3" t="s">
        <v>407</v>
      </c>
    </row>
    <row r="378" customFormat="false" ht="15" hidden="false" customHeight="false" outlineLevel="0" collapsed="false">
      <c r="A378" s="3" t="s">
        <v>411</v>
      </c>
      <c r="B378" s="3" t="s">
        <v>168</v>
      </c>
      <c r="C378" s="3" t="s">
        <v>112</v>
      </c>
      <c r="D378" s="3" t="s">
        <v>405</v>
      </c>
      <c r="E378" s="3" t="s">
        <v>399</v>
      </c>
      <c r="F378" s="3" t="n">
        <v>314</v>
      </c>
      <c r="G378" s="3" t="n">
        <v>302</v>
      </c>
      <c r="H378" s="3" t="n">
        <v>42</v>
      </c>
      <c r="I378" s="3" t="n">
        <v>300.24</v>
      </c>
      <c r="J378" s="3" t="n">
        <v>70.33</v>
      </c>
      <c r="K378" s="3" t="n">
        <v>20</v>
      </c>
      <c r="L378" s="3" t="s">
        <v>408</v>
      </c>
      <c r="M378" s="3" t="n">
        <v>0</v>
      </c>
      <c r="N378" s="3" t="n">
        <v>72.22</v>
      </c>
      <c r="O378" s="3" t="s">
        <v>395</v>
      </c>
    </row>
    <row r="379" customFormat="false" ht="15" hidden="false" customHeight="false" outlineLevel="0" collapsed="false">
      <c r="A379" s="3" t="s">
        <v>411</v>
      </c>
      <c r="B379" s="3" t="s">
        <v>168</v>
      </c>
      <c r="C379" s="3" t="s">
        <v>114</v>
      </c>
      <c r="D379" s="3" t="s">
        <v>406</v>
      </c>
      <c r="E379" s="3" t="s">
        <v>399</v>
      </c>
      <c r="F379" s="3" t="n">
        <v>167</v>
      </c>
      <c r="G379" s="3" t="n">
        <v>70</v>
      </c>
      <c r="H379" s="3" t="n">
        <v>42</v>
      </c>
      <c r="I379" s="3" t="n">
        <v>69.66</v>
      </c>
      <c r="J379" s="3" t="n">
        <v>79.68</v>
      </c>
      <c r="K379" s="3" t="n">
        <v>5</v>
      </c>
      <c r="L379" s="3" t="s">
        <v>394</v>
      </c>
      <c r="M379" s="3" t="n">
        <v>1</v>
      </c>
      <c r="N379" s="3" t="n">
        <v>77.12</v>
      </c>
      <c r="O379" s="3" t="s">
        <v>407</v>
      </c>
    </row>
    <row r="380" customFormat="false" ht="15" hidden="false" customHeight="false" outlineLevel="0" collapsed="false">
      <c r="A380" s="3" t="s">
        <v>411</v>
      </c>
      <c r="B380" s="3" t="s">
        <v>168</v>
      </c>
      <c r="C380" s="3" t="s">
        <v>116</v>
      </c>
      <c r="D380" s="3" t="s">
        <v>392</v>
      </c>
      <c r="E380" s="3" t="s">
        <v>399</v>
      </c>
      <c r="F380" s="3" t="n">
        <v>129</v>
      </c>
      <c r="G380" s="3" t="n">
        <v>92</v>
      </c>
      <c r="H380" s="3" t="n">
        <v>73</v>
      </c>
      <c r="I380" s="3" t="n">
        <v>89.92</v>
      </c>
      <c r="J380" s="3" t="n">
        <v>25.69</v>
      </c>
      <c r="K380" s="3" t="n">
        <v>0</v>
      </c>
      <c r="L380" s="3" t="s">
        <v>398</v>
      </c>
      <c r="M380" s="3" t="n">
        <v>0</v>
      </c>
      <c r="N380" s="3" t="n">
        <v>27.17</v>
      </c>
      <c r="O380" s="3" t="s">
        <v>395</v>
      </c>
    </row>
    <row r="381" customFormat="false" ht="15" hidden="false" customHeight="false" outlineLevel="0" collapsed="false">
      <c r="A381" s="3" t="s">
        <v>411</v>
      </c>
      <c r="B381" s="3" t="s">
        <v>168</v>
      </c>
      <c r="C381" s="3" t="s">
        <v>118</v>
      </c>
      <c r="D381" s="3" t="s">
        <v>406</v>
      </c>
      <c r="E381" s="3" t="s">
        <v>403</v>
      </c>
      <c r="F381" s="3" t="n">
        <v>425</v>
      </c>
      <c r="G381" s="3" t="n">
        <v>275</v>
      </c>
      <c r="H381" s="3" t="n">
        <v>160</v>
      </c>
      <c r="I381" s="3" t="n">
        <v>266.14</v>
      </c>
      <c r="J381" s="3" t="n">
        <v>25.04</v>
      </c>
      <c r="K381" s="3" t="n">
        <v>5</v>
      </c>
      <c r="L381" s="3" t="s">
        <v>398</v>
      </c>
      <c r="M381" s="3" t="n">
        <v>1</v>
      </c>
      <c r="N381" s="3" t="n">
        <v>29.56</v>
      </c>
      <c r="O381" s="3" t="s">
        <v>400</v>
      </c>
    </row>
    <row r="382" customFormat="false" ht="15" hidden="false" customHeight="false" outlineLevel="0" collapsed="false">
      <c r="A382" s="3" t="s">
        <v>411</v>
      </c>
      <c r="B382" s="3" t="s">
        <v>168</v>
      </c>
      <c r="C382" s="3" t="s">
        <v>120</v>
      </c>
      <c r="D382" s="3" t="s">
        <v>392</v>
      </c>
      <c r="E382" s="3" t="s">
        <v>403</v>
      </c>
      <c r="F382" s="3" t="n">
        <v>103</v>
      </c>
      <c r="G382" s="3" t="n">
        <v>3</v>
      </c>
      <c r="H382" s="3" t="n">
        <v>34</v>
      </c>
      <c r="I382" s="3" t="n">
        <v>20.62</v>
      </c>
      <c r="J382" s="3" t="n">
        <v>56.02</v>
      </c>
      <c r="K382" s="3" t="n">
        <v>15</v>
      </c>
      <c r="L382" s="3" t="s">
        <v>398</v>
      </c>
      <c r="M382" s="3" t="n">
        <v>0</v>
      </c>
      <c r="N382" s="3" t="n">
        <v>59.96</v>
      </c>
      <c r="O382" s="3" t="s">
        <v>404</v>
      </c>
    </row>
    <row r="383" customFormat="false" ht="15" hidden="false" customHeight="false" outlineLevel="0" collapsed="false">
      <c r="A383" s="3" t="s">
        <v>411</v>
      </c>
      <c r="B383" s="3" t="s">
        <v>168</v>
      </c>
      <c r="C383" s="3" t="s">
        <v>122</v>
      </c>
      <c r="D383" s="3" t="s">
        <v>392</v>
      </c>
      <c r="E383" s="3" t="s">
        <v>399</v>
      </c>
      <c r="F383" s="3" t="n">
        <v>471</v>
      </c>
      <c r="G383" s="3" t="n">
        <v>307</v>
      </c>
      <c r="H383" s="3" t="n">
        <v>143</v>
      </c>
      <c r="I383" s="3" t="n">
        <v>319.56</v>
      </c>
      <c r="J383" s="3" t="n">
        <v>31.39</v>
      </c>
      <c r="K383" s="3" t="n">
        <v>5</v>
      </c>
      <c r="L383" s="3" t="s">
        <v>394</v>
      </c>
      <c r="M383" s="3" t="n">
        <v>1</v>
      </c>
      <c r="N383" s="3" t="n">
        <v>29.82</v>
      </c>
      <c r="O383" s="3" t="s">
        <v>404</v>
      </c>
    </row>
    <row r="384" customFormat="false" ht="15" hidden="false" customHeight="false" outlineLevel="0" collapsed="false">
      <c r="A384" s="3" t="s">
        <v>411</v>
      </c>
      <c r="B384" s="3" t="s">
        <v>168</v>
      </c>
      <c r="C384" s="3" t="s">
        <v>124</v>
      </c>
      <c r="D384" s="3" t="s">
        <v>392</v>
      </c>
      <c r="E384" s="3" t="s">
        <v>397</v>
      </c>
      <c r="F384" s="3" t="n">
        <v>364</v>
      </c>
      <c r="G384" s="3" t="n">
        <v>62</v>
      </c>
      <c r="H384" s="3" t="n">
        <v>27</v>
      </c>
      <c r="I384" s="3" t="n">
        <v>68.97</v>
      </c>
      <c r="J384" s="3" t="n">
        <v>86.86</v>
      </c>
      <c r="K384" s="3" t="n">
        <v>15</v>
      </c>
      <c r="L384" s="3" t="s">
        <v>408</v>
      </c>
      <c r="M384" s="3" t="n">
        <v>0</v>
      </c>
      <c r="N384" s="3" t="n">
        <v>89.19</v>
      </c>
      <c r="O384" s="3" t="s">
        <v>407</v>
      </c>
    </row>
    <row r="385" customFormat="false" ht="15" hidden="false" customHeight="false" outlineLevel="0" collapsed="false">
      <c r="A385" s="3" t="s">
        <v>411</v>
      </c>
      <c r="B385" s="3" t="s">
        <v>189</v>
      </c>
      <c r="C385" s="3" t="s">
        <v>86</v>
      </c>
      <c r="D385" s="3" t="s">
        <v>405</v>
      </c>
      <c r="E385" s="3" t="s">
        <v>393</v>
      </c>
      <c r="F385" s="3" t="n">
        <v>383</v>
      </c>
      <c r="G385" s="3" t="n">
        <v>195</v>
      </c>
      <c r="H385" s="3" t="n">
        <v>175</v>
      </c>
      <c r="I385" s="3" t="n">
        <v>214.04</v>
      </c>
      <c r="J385" s="3" t="n">
        <v>21.71</v>
      </c>
      <c r="K385" s="3" t="n">
        <v>20</v>
      </c>
      <c r="L385" s="3" t="s">
        <v>394</v>
      </c>
      <c r="M385" s="3" t="n">
        <v>0</v>
      </c>
      <c r="N385" s="3" t="n">
        <v>24.12</v>
      </c>
      <c r="O385" s="3" t="s">
        <v>404</v>
      </c>
    </row>
    <row r="386" customFormat="false" ht="15" hidden="false" customHeight="false" outlineLevel="0" collapsed="false">
      <c r="A386" s="3" t="s">
        <v>411</v>
      </c>
      <c r="B386" s="3" t="s">
        <v>189</v>
      </c>
      <c r="C386" s="3" t="s">
        <v>88</v>
      </c>
      <c r="D386" s="3" t="s">
        <v>405</v>
      </c>
      <c r="E386" s="3" t="s">
        <v>399</v>
      </c>
      <c r="F386" s="3" t="n">
        <v>495</v>
      </c>
      <c r="G386" s="3" t="n">
        <v>33</v>
      </c>
      <c r="H386" s="3" t="n">
        <v>75</v>
      </c>
      <c r="I386" s="3" t="n">
        <v>36.13</v>
      </c>
      <c r="J386" s="3" t="n">
        <v>40.56</v>
      </c>
      <c r="K386" s="3" t="n">
        <v>5</v>
      </c>
      <c r="L386" s="3" t="s">
        <v>394</v>
      </c>
      <c r="M386" s="3" t="n">
        <v>1</v>
      </c>
      <c r="N386" s="3" t="n">
        <v>39.9</v>
      </c>
      <c r="O386" s="3" t="s">
        <v>404</v>
      </c>
    </row>
    <row r="387" customFormat="false" ht="15" hidden="false" customHeight="false" outlineLevel="0" collapsed="false">
      <c r="A387" s="3" t="s">
        <v>411</v>
      </c>
      <c r="B387" s="3" t="s">
        <v>189</v>
      </c>
      <c r="C387" s="3" t="s">
        <v>90</v>
      </c>
      <c r="D387" s="3" t="s">
        <v>396</v>
      </c>
      <c r="E387" s="3" t="s">
        <v>397</v>
      </c>
      <c r="F387" s="3" t="n">
        <v>439</v>
      </c>
      <c r="G387" s="3" t="n">
        <v>263</v>
      </c>
      <c r="H387" s="3" t="n">
        <v>107</v>
      </c>
      <c r="I387" s="3" t="n">
        <v>266.77</v>
      </c>
      <c r="J387" s="3" t="n">
        <v>29.2</v>
      </c>
      <c r="K387" s="3" t="n">
        <v>5</v>
      </c>
      <c r="L387" s="3" t="s">
        <v>408</v>
      </c>
      <c r="M387" s="3" t="n">
        <v>0</v>
      </c>
      <c r="N387" s="3" t="n">
        <v>30.66</v>
      </c>
      <c r="O387" s="3" t="s">
        <v>404</v>
      </c>
    </row>
    <row r="388" customFormat="false" ht="15" hidden="false" customHeight="false" outlineLevel="0" collapsed="false">
      <c r="A388" s="3" t="s">
        <v>411</v>
      </c>
      <c r="B388" s="3" t="s">
        <v>189</v>
      </c>
      <c r="C388" s="3" t="s">
        <v>92</v>
      </c>
      <c r="D388" s="3" t="s">
        <v>396</v>
      </c>
      <c r="E388" s="3" t="s">
        <v>399</v>
      </c>
      <c r="F388" s="3" t="n">
        <v>101</v>
      </c>
      <c r="G388" s="3" t="n">
        <v>83</v>
      </c>
      <c r="H388" s="3" t="n">
        <v>94</v>
      </c>
      <c r="I388" s="3" t="n">
        <v>97.81</v>
      </c>
      <c r="J388" s="3" t="n">
        <v>82.18</v>
      </c>
      <c r="K388" s="3" t="n">
        <v>20</v>
      </c>
      <c r="L388" s="3" t="s">
        <v>401</v>
      </c>
      <c r="M388" s="3" t="n">
        <v>1</v>
      </c>
      <c r="N388" s="3" t="n">
        <v>78.43</v>
      </c>
      <c r="O388" s="3" t="s">
        <v>400</v>
      </c>
    </row>
    <row r="389" customFormat="false" ht="15" hidden="false" customHeight="false" outlineLevel="0" collapsed="false">
      <c r="A389" s="3" t="s">
        <v>411</v>
      </c>
      <c r="B389" s="3" t="s">
        <v>189</v>
      </c>
      <c r="C389" s="3" t="s">
        <v>94</v>
      </c>
      <c r="D389" s="3" t="s">
        <v>396</v>
      </c>
      <c r="E389" s="3" t="s">
        <v>397</v>
      </c>
      <c r="F389" s="3" t="n">
        <v>292</v>
      </c>
      <c r="G389" s="3" t="n">
        <v>78</v>
      </c>
      <c r="H389" s="3" t="n">
        <v>25</v>
      </c>
      <c r="I389" s="3" t="n">
        <v>85.65</v>
      </c>
      <c r="J389" s="3" t="n">
        <v>45.85</v>
      </c>
      <c r="K389" s="3" t="n">
        <v>15</v>
      </c>
      <c r="L389" s="3" t="s">
        <v>398</v>
      </c>
      <c r="M389" s="3" t="n">
        <v>1</v>
      </c>
      <c r="N389" s="3" t="n">
        <v>43.84</v>
      </c>
      <c r="O389" s="3" t="s">
        <v>395</v>
      </c>
    </row>
    <row r="390" customFormat="false" ht="15" hidden="false" customHeight="false" outlineLevel="0" collapsed="false">
      <c r="A390" s="3" t="s">
        <v>411</v>
      </c>
      <c r="B390" s="3" t="s">
        <v>189</v>
      </c>
      <c r="C390" s="3" t="s">
        <v>96</v>
      </c>
      <c r="D390" s="3" t="s">
        <v>406</v>
      </c>
      <c r="E390" s="3" t="s">
        <v>399</v>
      </c>
      <c r="F390" s="3" t="n">
        <v>466</v>
      </c>
      <c r="G390" s="3" t="n">
        <v>118</v>
      </c>
      <c r="H390" s="3" t="n">
        <v>75</v>
      </c>
      <c r="I390" s="3" t="n">
        <v>133.87</v>
      </c>
      <c r="J390" s="3" t="n">
        <v>42.08</v>
      </c>
      <c r="K390" s="3" t="n">
        <v>10</v>
      </c>
      <c r="L390" s="3" t="s">
        <v>398</v>
      </c>
      <c r="M390" s="3" t="n">
        <v>0</v>
      </c>
      <c r="N390" s="3" t="n">
        <v>37.49</v>
      </c>
      <c r="O390" s="3" t="s">
        <v>400</v>
      </c>
    </row>
    <row r="391" customFormat="false" ht="15" hidden="false" customHeight="false" outlineLevel="0" collapsed="false">
      <c r="A391" s="3" t="s">
        <v>411</v>
      </c>
      <c r="B391" s="3" t="s">
        <v>189</v>
      </c>
      <c r="C391" s="3" t="s">
        <v>98</v>
      </c>
      <c r="D391" s="3" t="s">
        <v>406</v>
      </c>
      <c r="E391" s="3" t="s">
        <v>393</v>
      </c>
      <c r="F391" s="3" t="n">
        <v>175</v>
      </c>
      <c r="G391" s="3" t="n">
        <v>147</v>
      </c>
      <c r="H391" s="3" t="n">
        <v>130</v>
      </c>
      <c r="I391" s="3" t="n">
        <v>141.44</v>
      </c>
      <c r="J391" s="3" t="n">
        <v>51.22</v>
      </c>
      <c r="K391" s="3" t="n">
        <v>10</v>
      </c>
      <c r="L391" s="3" t="s">
        <v>401</v>
      </c>
      <c r="M391" s="3" t="n">
        <v>1</v>
      </c>
      <c r="N391" s="3" t="n">
        <v>54.22</v>
      </c>
      <c r="O391" s="3" t="s">
        <v>407</v>
      </c>
    </row>
    <row r="392" customFormat="false" ht="15" hidden="false" customHeight="false" outlineLevel="0" collapsed="false">
      <c r="A392" s="3" t="s">
        <v>411</v>
      </c>
      <c r="B392" s="3" t="s">
        <v>189</v>
      </c>
      <c r="C392" s="3" t="s">
        <v>100</v>
      </c>
      <c r="D392" s="3" t="s">
        <v>405</v>
      </c>
      <c r="E392" s="3" t="s">
        <v>397</v>
      </c>
      <c r="F392" s="3" t="n">
        <v>327</v>
      </c>
      <c r="G392" s="3" t="n">
        <v>216</v>
      </c>
      <c r="H392" s="3" t="n">
        <v>124</v>
      </c>
      <c r="I392" s="3" t="n">
        <v>233.51</v>
      </c>
      <c r="J392" s="3" t="n">
        <v>62.03</v>
      </c>
      <c r="K392" s="3" t="n">
        <v>20</v>
      </c>
      <c r="L392" s="3" t="s">
        <v>401</v>
      </c>
      <c r="M392" s="3" t="n">
        <v>0</v>
      </c>
      <c r="N392" s="3" t="n">
        <v>64.13</v>
      </c>
      <c r="O392" s="3" t="s">
        <v>400</v>
      </c>
    </row>
    <row r="393" customFormat="false" ht="15" hidden="false" customHeight="false" outlineLevel="0" collapsed="false">
      <c r="A393" s="3" t="s">
        <v>411</v>
      </c>
      <c r="B393" s="3" t="s">
        <v>189</v>
      </c>
      <c r="C393" s="3" t="s">
        <v>102</v>
      </c>
      <c r="D393" s="3" t="s">
        <v>392</v>
      </c>
      <c r="E393" s="3" t="s">
        <v>399</v>
      </c>
      <c r="F393" s="3" t="n">
        <v>194</v>
      </c>
      <c r="G393" s="3" t="n">
        <v>27</v>
      </c>
      <c r="H393" s="3" t="n">
        <v>43</v>
      </c>
      <c r="I393" s="3" t="n">
        <v>26.91</v>
      </c>
      <c r="J393" s="3" t="n">
        <v>36.53</v>
      </c>
      <c r="K393" s="3" t="n">
        <v>15</v>
      </c>
      <c r="L393" s="3" t="s">
        <v>408</v>
      </c>
      <c r="M393" s="3" t="n">
        <v>1</v>
      </c>
      <c r="N393" s="3" t="n">
        <v>35.63</v>
      </c>
      <c r="O393" s="3" t="s">
        <v>407</v>
      </c>
    </row>
    <row r="394" customFormat="false" ht="15" hidden="false" customHeight="false" outlineLevel="0" collapsed="false">
      <c r="A394" s="3" t="s">
        <v>411</v>
      </c>
      <c r="B394" s="3" t="s">
        <v>189</v>
      </c>
      <c r="C394" s="3" t="s">
        <v>104</v>
      </c>
      <c r="D394" s="3" t="s">
        <v>402</v>
      </c>
      <c r="E394" s="3" t="s">
        <v>393</v>
      </c>
      <c r="F394" s="3" t="n">
        <v>349</v>
      </c>
      <c r="G394" s="3" t="n">
        <v>172</v>
      </c>
      <c r="H394" s="3" t="n">
        <v>189</v>
      </c>
      <c r="I394" s="3" t="n">
        <v>171.35</v>
      </c>
      <c r="J394" s="3" t="n">
        <v>84.66</v>
      </c>
      <c r="K394" s="3" t="n">
        <v>5</v>
      </c>
      <c r="L394" s="3" t="s">
        <v>394</v>
      </c>
      <c r="M394" s="3" t="n">
        <v>1</v>
      </c>
      <c r="N394" s="3" t="n">
        <v>79.81</v>
      </c>
      <c r="O394" s="3" t="s">
        <v>404</v>
      </c>
    </row>
    <row r="395" customFormat="false" ht="15" hidden="false" customHeight="false" outlineLevel="0" collapsed="false">
      <c r="A395" s="3" t="s">
        <v>411</v>
      </c>
      <c r="B395" s="3" t="s">
        <v>189</v>
      </c>
      <c r="C395" s="3" t="s">
        <v>106</v>
      </c>
      <c r="D395" s="3" t="s">
        <v>396</v>
      </c>
      <c r="E395" s="3" t="s">
        <v>399</v>
      </c>
      <c r="F395" s="3" t="n">
        <v>237</v>
      </c>
      <c r="G395" s="3" t="n">
        <v>78</v>
      </c>
      <c r="H395" s="3" t="n">
        <v>192</v>
      </c>
      <c r="I395" s="3" t="n">
        <v>77.14</v>
      </c>
      <c r="J395" s="3" t="n">
        <v>39.15</v>
      </c>
      <c r="K395" s="3" t="n">
        <v>0</v>
      </c>
      <c r="L395" s="3" t="s">
        <v>408</v>
      </c>
      <c r="M395" s="3" t="n">
        <v>1</v>
      </c>
      <c r="N395" s="3" t="n">
        <v>35.15</v>
      </c>
      <c r="O395" s="3" t="s">
        <v>395</v>
      </c>
    </row>
    <row r="396" customFormat="false" ht="15" hidden="false" customHeight="false" outlineLevel="0" collapsed="false">
      <c r="A396" s="3" t="s">
        <v>411</v>
      </c>
      <c r="B396" s="3" t="s">
        <v>189</v>
      </c>
      <c r="C396" s="3" t="s">
        <v>108</v>
      </c>
      <c r="D396" s="3" t="s">
        <v>406</v>
      </c>
      <c r="E396" s="3" t="s">
        <v>397</v>
      </c>
      <c r="F396" s="3" t="n">
        <v>220</v>
      </c>
      <c r="G396" s="3" t="n">
        <v>196</v>
      </c>
      <c r="H396" s="3" t="n">
        <v>82</v>
      </c>
      <c r="I396" s="3" t="n">
        <v>187.61</v>
      </c>
      <c r="J396" s="3" t="n">
        <v>45.65</v>
      </c>
      <c r="K396" s="3" t="n">
        <v>15</v>
      </c>
      <c r="L396" s="3" t="s">
        <v>401</v>
      </c>
      <c r="M396" s="3" t="n">
        <v>1</v>
      </c>
      <c r="N396" s="3" t="n">
        <v>48.04</v>
      </c>
      <c r="O396" s="3" t="s">
        <v>400</v>
      </c>
    </row>
    <row r="397" customFormat="false" ht="15" hidden="false" customHeight="false" outlineLevel="0" collapsed="false">
      <c r="A397" s="3" t="s">
        <v>411</v>
      </c>
      <c r="B397" s="3" t="s">
        <v>189</v>
      </c>
      <c r="C397" s="3" t="s">
        <v>110</v>
      </c>
      <c r="D397" s="3" t="s">
        <v>392</v>
      </c>
      <c r="E397" s="3" t="s">
        <v>393</v>
      </c>
      <c r="F397" s="3" t="n">
        <v>86</v>
      </c>
      <c r="G397" s="3" t="n">
        <v>75</v>
      </c>
      <c r="H397" s="3" t="n">
        <v>153</v>
      </c>
      <c r="I397" s="3" t="n">
        <v>72.27</v>
      </c>
      <c r="J397" s="3" t="n">
        <v>40.27</v>
      </c>
      <c r="K397" s="3" t="n">
        <v>15</v>
      </c>
      <c r="L397" s="3" t="s">
        <v>398</v>
      </c>
      <c r="M397" s="3" t="n">
        <v>1</v>
      </c>
      <c r="N397" s="3" t="n">
        <v>41.66</v>
      </c>
      <c r="O397" s="3" t="s">
        <v>400</v>
      </c>
    </row>
    <row r="398" customFormat="false" ht="15" hidden="false" customHeight="false" outlineLevel="0" collapsed="false">
      <c r="A398" s="3" t="s">
        <v>411</v>
      </c>
      <c r="B398" s="3" t="s">
        <v>189</v>
      </c>
      <c r="C398" s="3" t="s">
        <v>112</v>
      </c>
      <c r="D398" s="3" t="s">
        <v>396</v>
      </c>
      <c r="E398" s="3" t="s">
        <v>399</v>
      </c>
      <c r="F398" s="3" t="n">
        <v>334</v>
      </c>
      <c r="G398" s="3" t="n">
        <v>11</v>
      </c>
      <c r="H398" s="3" t="n">
        <v>179</v>
      </c>
      <c r="I398" s="3" t="n">
        <v>8.45</v>
      </c>
      <c r="J398" s="3" t="n">
        <v>82.99</v>
      </c>
      <c r="K398" s="3" t="n">
        <v>15</v>
      </c>
      <c r="L398" s="3" t="s">
        <v>408</v>
      </c>
      <c r="M398" s="3" t="n">
        <v>1</v>
      </c>
      <c r="N398" s="3" t="n">
        <v>87.85</v>
      </c>
      <c r="O398" s="3" t="s">
        <v>407</v>
      </c>
    </row>
    <row r="399" customFormat="false" ht="15" hidden="false" customHeight="false" outlineLevel="0" collapsed="false">
      <c r="A399" s="3" t="s">
        <v>411</v>
      </c>
      <c r="B399" s="3" t="s">
        <v>189</v>
      </c>
      <c r="C399" s="3" t="s">
        <v>114</v>
      </c>
      <c r="D399" s="3" t="s">
        <v>406</v>
      </c>
      <c r="E399" s="3" t="s">
        <v>399</v>
      </c>
      <c r="F399" s="3" t="n">
        <v>186</v>
      </c>
      <c r="G399" s="3" t="n">
        <v>144</v>
      </c>
      <c r="H399" s="3" t="n">
        <v>197</v>
      </c>
      <c r="I399" s="3" t="n">
        <v>150.43</v>
      </c>
      <c r="J399" s="3" t="n">
        <v>60.15</v>
      </c>
      <c r="K399" s="3" t="n">
        <v>20</v>
      </c>
      <c r="L399" s="3" t="s">
        <v>401</v>
      </c>
      <c r="M399" s="3" t="n">
        <v>1</v>
      </c>
      <c r="N399" s="3" t="n">
        <v>61.9</v>
      </c>
      <c r="O399" s="3" t="s">
        <v>400</v>
      </c>
    </row>
    <row r="400" customFormat="false" ht="15" hidden="false" customHeight="false" outlineLevel="0" collapsed="false">
      <c r="A400" s="3" t="s">
        <v>411</v>
      </c>
      <c r="B400" s="3" t="s">
        <v>189</v>
      </c>
      <c r="C400" s="3" t="s">
        <v>116</v>
      </c>
      <c r="D400" s="3" t="s">
        <v>402</v>
      </c>
      <c r="E400" s="3" t="s">
        <v>393</v>
      </c>
      <c r="F400" s="3" t="n">
        <v>288</v>
      </c>
      <c r="G400" s="3" t="n">
        <v>200</v>
      </c>
      <c r="H400" s="3" t="n">
        <v>180</v>
      </c>
      <c r="I400" s="3" t="n">
        <v>216.05</v>
      </c>
      <c r="J400" s="3" t="n">
        <v>15.19</v>
      </c>
      <c r="K400" s="3" t="n">
        <v>10</v>
      </c>
      <c r="L400" s="3" t="s">
        <v>398</v>
      </c>
      <c r="M400" s="3" t="n">
        <v>0</v>
      </c>
      <c r="N400" s="3" t="n">
        <v>12.13</v>
      </c>
      <c r="O400" s="3" t="s">
        <v>404</v>
      </c>
    </row>
    <row r="401" customFormat="false" ht="15" hidden="false" customHeight="false" outlineLevel="0" collapsed="false">
      <c r="A401" s="3" t="s">
        <v>411</v>
      </c>
      <c r="B401" s="3" t="s">
        <v>189</v>
      </c>
      <c r="C401" s="3" t="s">
        <v>118</v>
      </c>
      <c r="D401" s="3" t="s">
        <v>396</v>
      </c>
      <c r="E401" s="3" t="s">
        <v>393</v>
      </c>
      <c r="F401" s="3" t="n">
        <v>460</v>
      </c>
      <c r="G401" s="3" t="n">
        <v>256</v>
      </c>
      <c r="H401" s="3" t="n">
        <v>107</v>
      </c>
      <c r="I401" s="3" t="n">
        <v>252.35</v>
      </c>
      <c r="J401" s="3" t="n">
        <v>37.46</v>
      </c>
      <c r="K401" s="3" t="n">
        <v>20</v>
      </c>
      <c r="L401" s="3" t="s">
        <v>401</v>
      </c>
      <c r="M401" s="3" t="n">
        <v>1</v>
      </c>
      <c r="N401" s="3" t="n">
        <v>33.09</v>
      </c>
      <c r="O401" s="3" t="s">
        <v>395</v>
      </c>
    </row>
    <row r="402" customFormat="false" ht="15" hidden="false" customHeight="false" outlineLevel="0" collapsed="false">
      <c r="A402" s="3" t="s">
        <v>411</v>
      </c>
      <c r="B402" s="3" t="s">
        <v>189</v>
      </c>
      <c r="C402" s="3" t="s">
        <v>120</v>
      </c>
      <c r="D402" s="3" t="s">
        <v>392</v>
      </c>
      <c r="E402" s="3" t="s">
        <v>403</v>
      </c>
      <c r="F402" s="3" t="n">
        <v>482</v>
      </c>
      <c r="G402" s="3" t="n">
        <v>118</v>
      </c>
      <c r="H402" s="3" t="n">
        <v>168</v>
      </c>
      <c r="I402" s="3" t="n">
        <v>137.7</v>
      </c>
      <c r="J402" s="3" t="n">
        <v>34.44</v>
      </c>
      <c r="K402" s="3" t="n">
        <v>10</v>
      </c>
      <c r="L402" s="3" t="s">
        <v>401</v>
      </c>
      <c r="M402" s="3" t="n">
        <v>0</v>
      </c>
      <c r="N402" s="3" t="n">
        <v>33.51</v>
      </c>
      <c r="O402" s="3" t="s">
        <v>407</v>
      </c>
    </row>
    <row r="403" customFormat="false" ht="15" hidden="false" customHeight="false" outlineLevel="0" collapsed="false">
      <c r="A403" s="3" t="s">
        <v>411</v>
      </c>
      <c r="B403" s="3" t="s">
        <v>189</v>
      </c>
      <c r="C403" s="3" t="s">
        <v>122</v>
      </c>
      <c r="D403" s="3" t="s">
        <v>396</v>
      </c>
      <c r="E403" s="3" t="s">
        <v>393</v>
      </c>
      <c r="F403" s="3" t="n">
        <v>278</v>
      </c>
      <c r="G403" s="3" t="n">
        <v>244</v>
      </c>
      <c r="H403" s="3" t="n">
        <v>24</v>
      </c>
      <c r="I403" s="3" t="n">
        <v>259.18</v>
      </c>
      <c r="J403" s="3" t="n">
        <v>84.99</v>
      </c>
      <c r="K403" s="3" t="n">
        <v>20</v>
      </c>
      <c r="L403" s="3" t="s">
        <v>394</v>
      </c>
      <c r="M403" s="3" t="n">
        <v>0</v>
      </c>
      <c r="N403" s="3" t="n">
        <v>85.21</v>
      </c>
      <c r="O403" s="3" t="s">
        <v>395</v>
      </c>
    </row>
    <row r="404" customFormat="false" ht="15" hidden="false" customHeight="false" outlineLevel="0" collapsed="false">
      <c r="A404" s="3" t="s">
        <v>411</v>
      </c>
      <c r="B404" s="3" t="s">
        <v>189</v>
      </c>
      <c r="C404" s="3" t="s">
        <v>124</v>
      </c>
      <c r="D404" s="3" t="s">
        <v>405</v>
      </c>
      <c r="E404" s="3" t="s">
        <v>399</v>
      </c>
      <c r="F404" s="3" t="n">
        <v>128</v>
      </c>
      <c r="G404" s="3" t="n">
        <v>54</v>
      </c>
      <c r="H404" s="3" t="n">
        <v>139</v>
      </c>
      <c r="I404" s="3" t="n">
        <v>62.09</v>
      </c>
      <c r="J404" s="3" t="n">
        <v>81.63</v>
      </c>
      <c r="K404" s="3" t="n">
        <v>10</v>
      </c>
      <c r="L404" s="3" t="s">
        <v>394</v>
      </c>
      <c r="M404" s="3" t="n">
        <v>0</v>
      </c>
      <c r="N404" s="3" t="n">
        <v>78.32</v>
      </c>
      <c r="O404" s="3" t="s">
        <v>395</v>
      </c>
    </row>
    <row r="405" customFormat="false" ht="15" hidden="false" customHeight="false" outlineLevel="0" collapsed="false">
      <c r="A405" s="3" t="s">
        <v>412</v>
      </c>
      <c r="B405" s="3" t="s">
        <v>85</v>
      </c>
      <c r="C405" s="3" t="s">
        <v>86</v>
      </c>
      <c r="D405" s="3" t="s">
        <v>392</v>
      </c>
      <c r="E405" s="3" t="s">
        <v>397</v>
      </c>
      <c r="F405" s="3" t="n">
        <v>238</v>
      </c>
      <c r="G405" s="3" t="n">
        <v>147</v>
      </c>
      <c r="H405" s="3" t="n">
        <v>37</v>
      </c>
      <c r="I405" s="3" t="n">
        <v>150.27</v>
      </c>
      <c r="J405" s="3" t="n">
        <v>28.46</v>
      </c>
      <c r="K405" s="3" t="n">
        <v>20</v>
      </c>
      <c r="L405" s="3" t="s">
        <v>398</v>
      </c>
      <c r="M405" s="3" t="n">
        <v>1</v>
      </c>
      <c r="N405" s="3" t="n">
        <v>29.4</v>
      </c>
      <c r="O405" s="3" t="s">
        <v>404</v>
      </c>
    </row>
    <row r="406" customFormat="false" ht="15" hidden="false" customHeight="false" outlineLevel="0" collapsed="false">
      <c r="A406" s="3" t="s">
        <v>412</v>
      </c>
      <c r="B406" s="3" t="s">
        <v>85</v>
      </c>
      <c r="C406" s="3" t="s">
        <v>88</v>
      </c>
      <c r="D406" s="3" t="s">
        <v>396</v>
      </c>
      <c r="E406" s="3" t="s">
        <v>399</v>
      </c>
      <c r="F406" s="3" t="n">
        <v>270</v>
      </c>
      <c r="G406" s="3" t="n">
        <v>220</v>
      </c>
      <c r="H406" s="3" t="n">
        <v>165</v>
      </c>
      <c r="I406" s="3" t="n">
        <v>237</v>
      </c>
      <c r="J406" s="3" t="n">
        <v>79.54</v>
      </c>
      <c r="K406" s="3" t="n">
        <v>10</v>
      </c>
      <c r="L406" s="3" t="s">
        <v>394</v>
      </c>
      <c r="M406" s="3" t="n">
        <v>0</v>
      </c>
      <c r="N406" s="3" t="n">
        <v>80.22</v>
      </c>
      <c r="O406" s="3" t="s">
        <v>407</v>
      </c>
    </row>
    <row r="407" customFormat="false" ht="15" hidden="false" customHeight="false" outlineLevel="0" collapsed="false">
      <c r="A407" s="3" t="s">
        <v>412</v>
      </c>
      <c r="B407" s="3" t="s">
        <v>85</v>
      </c>
      <c r="C407" s="3" t="s">
        <v>90</v>
      </c>
      <c r="D407" s="3" t="s">
        <v>396</v>
      </c>
      <c r="E407" s="3" t="s">
        <v>397</v>
      </c>
      <c r="F407" s="3" t="n">
        <v>216</v>
      </c>
      <c r="G407" s="3" t="n">
        <v>97</v>
      </c>
      <c r="H407" s="3" t="n">
        <v>198</v>
      </c>
      <c r="I407" s="3" t="n">
        <v>101.54</v>
      </c>
      <c r="J407" s="3" t="n">
        <v>80.57</v>
      </c>
      <c r="K407" s="3" t="n">
        <v>5</v>
      </c>
      <c r="L407" s="3" t="s">
        <v>394</v>
      </c>
      <c r="M407" s="3" t="n">
        <v>1</v>
      </c>
      <c r="N407" s="3" t="n">
        <v>78.89</v>
      </c>
      <c r="O407" s="3" t="s">
        <v>400</v>
      </c>
    </row>
    <row r="408" customFormat="false" ht="15" hidden="false" customHeight="false" outlineLevel="0" collapsed="false">
      <c r="A408" s="3" t="s">
        <v>412</v>
      </c>
      <c r="B408" s="3" t="s">
        <v>85</v>
      </c>
      <c r="C408" s="3" t="s">
        <v>92</v>
      </c>
      <c r="D408" s="3" t="s">
        <v>402</v>
      </c>
      <c r="E408" s="3" t="s">
        <v>393</v>
      </c>
      <c r="F408" s="3" t="n">
        <v>172</v>
      </c>
      <c r="G408" s="3" t="n">
        <v>29</v>
      </c>
      <c r="H408" s="3" t="n">
        <v>73</v>
      </c>
      <c r="I408" s="3" t="n">
        <v>40.03</v>
      </c>
      <c r="J408" s="3" t="n">
        <v>93.53</v>
      </c>
      <c r="K408" s="3" t="n">
        <v>20</v>
      </c>
      <c r="L408" s="3" t="s">
        <v>408</v>
      </c>
      <c r="M408" s="3" t="n">
        <v>1</v>
      </c>
      <c r="N408" s="3" t="n">
        <v>93.55</v>
      </c>
      <c r="O408" s="3" t="s">
        <v>395</v>
      </c>
    </row>
    <row r="409" customFormat="false" ht="15" hidden="false" customHeight="false" outlineLevel="0" collapsed="false">
      <c r="A409" s="3" t="s">
        <v>412</v>
      </c>
      <c r="B409" s="3" t="s">
        <v>85</v>
      </c>
      <c r="C409" s="3" t="s">
        <v>94</v>
      </c>
      <c r="D409" s="3" t="s">
        <v>405</v>
      </c>
      <c r="E409" s="3" t="s">
        <v>399</v>
      </c>
      <c r="F409" s="3" t="n">
        <v>405</v>
      </c>
      <c r="G409" s="3" t="n">
        <v>192</v>
      </c>
      <c r="H409" s="3" t="n">
        <v>76</v>
      </c>
      <c r="I409" s="3" t="n">
        <v>193.38</v>
      </c>
      <c r="J409" s="3" t="n">
        <v>46.13</v>
      </c>
      <c r="K409" s="3" t="n">
        <v>0</v>
      </c>
      <c r="L409" s="3" t="s">
        <v>401</v>
      </c>
      <c r="M409" s="3" t="n">
        <v>0</v>
      </c>
      <c r="N409" s="3" t="n">
        <v>42.56</v>
      </c>
      <c r="O409" s="3" t="s">
        <v>407</v>
      </c>
    </row>
    <row r="410" customFormat="false" ht="15" hidden="false" customHeight="false" outlineLevel="0" collapsed="false">
      <c r="A410" s="3" t="s">
        <v>412</v>
      </c>
      <c r="B410" s="3" t="s">
        <v>85</v>
      </c>
      <c r="C410" s="3" t="s">
        <v>96</v>
      </c>
      <c r="D410" s="3" t="s">
        <v>396</v>
      </c>
      <c r="E410" s="3" t="s">
        <v>393</v>
      </c>
      <c r="F410" s="3" t="n">
        <v>338</v>
      </c>
      <c r="G410" s="3" t="n">
        <v>158</v>
      </c>
      <c r="H410" s="3" t="n">
        <v>139</v>
      </c>
      <c r="I410" s="3" t="n">
        <v>168.84</v>
      </c>
      <c r="J410" s="3" t="n">
        <v>60.2</v>
      </c>
      <c r="K410" s="3" t="n">
        <v>0</v>
      </c>
      <c r="L410" s="3" t="s">
        <v>394</v>
      </c>
      <c r="M410" s="3" t="n">
        <v>1</v>
      </c>
      <c r="N410" s="3" t="n">
        <v>57.13</v>
      </c>
      <c r="O410" s="3" t="s">
        <v>404</v>
      </c>
    </row>
    <row r="411" customFormat="false" ht="15" hidden="false" customHeight="false" outlineLevel="0" collapsed="false">
      <c r="A411" s="3" t="s">
        <v>412</v>
      </c>
      <c r="B411" s="3" t="s">
        <v>85</v>
      </c>
      <c r="C411" s="3" t="s">
        <v>98</v>
      </c>
      <c r="D411" s="3" t="s">
        <v>392</v>
      </c>
      <c r="E411" s="3" t="s">
        <v>399</v>
      </c>
      <c r="F411" s="3" t="n">
        <v>409</v>
      </c>
      <c r="G411" s="3" t="n">
        <v>8</v>
      </c>
      <c r="H411" s="3" t="n">
        <v>143</v>
      </c>
      <c r="I411" s="3" t="n">
        <v>17.44</v>
      </c>
      <c r="J411" s="3" t="n">
        <v>53.65</v>
      </c>
      <c r="K411" s="3" t="n">
        <v>5</v>
      </c>
      <c r="L411" s="3" t="s">
        <v>401</v>
      </c>
      <c r="M411" s="3" t="n">
        <v>0</v>
      </c>
      <c r="N411" s="3" t="n">
        <v>53.31</v>
      </c>
      <c r="O411" s="3" t="s">
        <v>395</v>
      </c>
    </row>
    <row r="412" customFormat="false" ht="15" hidden="false" customHeight="false" outlineLevel="0" collapsed="false">
      <c r="A412" s="3" t="s">
        <v>412</v>
      </c>
      <c r="B412" s="3" t="s">
        <v>85</v>
      </c>
      <c r="C412" s="3" t="s">
        <v>100</v>
      </c>
      <c r="D412" s="3" t="s">
        <v>402</v>
      </c>
      <c r="E412" s="3" t="s">
        <v>399</v>
      </c>
      <c r="F412" s="3" t="n">
        <v>102</v>
      </c>
      <c r="G412" s="3" t="n">
        <v>42</v>
      </c>
      <c r="H412" s="3" t="n">
        <v>23</v>
      </c>
      <c r="I412" s="3" t="n">
        <v>35.11</v>
      </c>
      <c r="J412" s="3" t="n">
        <v>59.2</v>
      </c>
      <c r="K412" s="3" t="n">
        <v>5</v>
      </c>
      <c r="L412" s="3" t="s">
        <v>408</v>
      </c>
      <c r="M412" s="3" t="n">
        <v>0</v>
      </c>
      <c r="N412" s="3" t="n">
        <v>58.19</v>
      </c>
      <c r="O412" s="3" t="s">
        <v>404</v>
      </c>
    </row>
    <row r="413" customFormat="false" ht="15" hidden="false" customHeight="false" outlineLevel="0" collapsed="false">
      <c r="A413" s="3" t="s">
        <v>412</v>
      </c>
      <c r="B413" s="3" t="s">
        <v>85</v>
      </c>
      <c r="C413" s="3" t="s">
        <v>102</v>
      </c>
      <c r="D413" s="3" t="s">
        <v>405</v>
      </c>
      <c r="E413" s="3" t="s">
        <v>403</v>
      </c>
      <c r="F413" s="3" t="n">
        <v>433</v>
      </c>
      <c r="G413" s="3" t="n">
        <v>5</v>
      </c>
      <c r="H413" s="3" t="n">
        <v>185</v>
      </c>
      <c r="I413" s="3" t="n">
        <v>6.6</v>
      </c>
      <c r="J413" s="3" t="n">
        <v>98.03</v>
      </c>
      <c r="K413" s="3" t="n">
        <v>5</v>
      </c>
      <c r="L413" s="3" t="s">
        <v>394</v>
      </c>
      <c r="M413" s="3" t="n">
        <v>0</v>
      </c>
      <c r="N413" s="3" t="n">
        <v>93.57</v>
      </c>
      <c r="O413" s="3" t="s">
        <v>407</v>
      </c>
    </row>
    <row r="414" customFormat="false" ht="15" hidden="false" customHeight="false" outlineLevel="0" collapsed="false">
      <c r="A414" s="3" t="s">
        <v>412</v>
      </c>
      <c r="B414" s="3" t="s">
        <v>85</v>
      </c>
      <c r="C414" s="3" t="s">
        <v>104</v>
      </c>
      <c r="D414" s="3" t="s">
        <v>405</v>
      </c>
      <c r="E414" s="3" t="s">
        <v>403</v>
      </c>
      <c r="F414" s="3" t="n">
        <v>288</v>
      </c>
      <c r="G414" s="3" t="n">
        <v>93</v>
      </c>
      <c r="H414" s="3" t="n">
        <v>169</v>
      </c>
      <c r="I414" s="3" t="n">
        <v>85.66</v>
      </c>
      <c r="J414" s="3" t="n">
        <v>32.6</v>
      </c>
      <c r="K414" s="3" t="n">
        <v>20</v>
      </c>
      <c r="L414" s="3" t="s">
        <v>394</v>
      </c>
      <c r="M414" s="3" t="n">
        <v>0</v>
      </c>
      <c r="N414" s="3" t="n">
        <v>32.17</v>
      </c>
      <c r="O414" s="3" t="s">
        <v>407</v>
      </c>
    </row>
    <row r="415" customFormat="false" ht="15" hidden="false" customHeight="false" outlineLevel="0" collapsed="false">
      <c r="A415" s="3" t="s">
        <v>412</v>
      </c>
      <c r="B415" s="3" t="s">
        <v>85</v>
      </c>
      <c r="C415" s="3" t="s">
        <v>106</v>
      </c>
      <c r="D415" s="3" t="s">
        <v>392</v>
      </c>
      <c r="E415" s="3" t="s">
        <v>393</v>
      </c>
      <c r="F415" s="3" t="n">
        <v>485</v>
      </c>
      <c r="G415" s="3" t="n">
        <v>44</v>
      </c>
      <c r="H415" s="3" t="n">
        <v>191</v>
      </c>
      <c r="I415" s="3" t="n">
        <v>54.08</v>
      </c>
      <c r="J415" s="3" t="n">
        <v>53.31</v>
      </c>
      <c r="K415" s="3" t="n">
        <v>5</v>
      </c>
      <c r="L415" s="3" t="s">
        <v>398</v>
      </c>
      <c r="M415" s="3" t="n">
        <v>1</v>
      </c>
      <c r="N415" s="3" t="n">
        <v>52.89</v>
      </c>
      <c r="O415" s="3" t="s">
        <v>407</v>
      </c>
    </row>
    <row r="416" customFormat="false" ht="15" hidden="false" customHeight="false" outlineLevel="0" collapsed="false">
      <c r="A416" s="3" t="s">
        <v>412</v>
      </c>
      <c r="B416" s="3" t="s">
        <v>85</v>
      </c>
      <c r="C416" s="3" t="s">
        <v>108</v>
      </c>
      <c r="D416" s="3" t="s">
        <v>402</v>
      </c>
      <c r="E416" s="3" t="s">
        <v>399</v>
      </c>
      <c r="F416" s="3" t="n">
        <v>414</v>
      </c>
      <c r="G416" s="3" t="n">
        <v>78</v>
      </c>
      <c r="H416" s="3" t="n">
        <v>91</v>
      </c>
      <c r="I416" s="3" t="n">
        <v>76.67</v>
      </c>
      <c r="J416" s="3" t="n">
        <v>93.96</v>
      </c>
      <c r="K416" s="3" t="n">
        <v>20</v>
      </c>
      <c r="L416" s="3" t="s">
        <v>398</v>
      </c>
      <c r="M416" s="3" t="n">
        <v>0</v>
      </c>
      <c r="N416" s="3" t="n">
        <v>98.29</v>
      </c>
      <c r="O416" s="3" t="s">
        <v>400</v>
      </c>
    </row>
    <row r="417" customFormat="false" ht="15" hidden="false" customHeight="false" outlineLevel="0" collapsed="false">
      <c r="A417" s="3" t="s">
        <v>412</v>
      </c>
      <c r="B417" s="3" t="s">
        <v>85</v>
      </c>
      <c r="C417" s="3" t="s">
        <v>110</v>
      </c>
      <c r="D417" s="3" t="s">
        <v>396</v>
      </c>
      <c r="E417" s="3" t="s">
        <v>403</v>
      </c>
      <c r="F417" s="3" t="n">
        <v>370</v>
      </c>
      <c r="G417" s="3" t="n">
        <v>57</v>
      </c>
      <c r="H417" s="3" t="n">
        <v>24</v>
      </c>
      <c r="I417" s="3" t="n">
        <v>55.73</v>
      </c>
      <c r="J417" s="3" t="n">
        <v>83.3</v>
      </c>
      <c r="K417" s="3" t="n">
        <v>0</v>
      </c>
      <c r="L417" s="3" t="s">
        <v>408</v>
      </c>
      <c r="M417" s="3" t="n">
        <v>0</v>
      </c>
      <c r="N417" s="3" t="n">
        <v>82.46</v>
      </c>
      <c r="O417" s="3" t="s">
        <v>400</v>
      </c>
    </row>
    <row r="418" customFormat="false" ht="15" hidden="false" customHeight="false" outlineLevel="0" collapsed="false">
      <c r="A418" s="3" t="s">
        <v>412</v>
      </c>
      <c r="B418" s="3" t="s">
        <v>85</v>
      </c>
      <c r="C418" s="3" t="s">
        <v>112</v>
      </c>
      <c r="D418" s="3" t="s">
        <v>396</v>
      </c>
      <c r="E418" s="3" t="s">
        <v>393</v>
      </c>
      <c r="F418" s="3" t="n">
        <v>233</v>
      </c>
      <c r="G418" s="3" t="n">
        <v>161</v>
      </c>
      <c r="H418" s="3" t="n">
        <v>171</v>
      </c>
      <c r="I418" s="3" t="n">
        <v>155.79</v>
      </c>
      <c r="J418" s="3" t="n">
        <v>12.66</v>
      </c>
      <c r="K418" s="3" t="n">
        <v>15</v>
      </c>
      <c r="L418" s="3" t="s">
        <v>394</v>
      </c>
      <c r="M418" s="3" t="n">
        <v>1</v>
      </c>
      <c r="N418" s="3" t="n">
        <v>12.38</v>
      </c>
      <c r="O418" s="3" t="s">
        <v>395</v>
      </c>
    </row>
    <row r="419" customFormat="false" ht="15" hidden="false" customHeight="false" outlineLevel="0" collapsed="false">
      <c r="A419" s="3" t="s">
        <v>412</v>
      </c>
      <c r="B419" s="3" t="s">
        <v>85</v>
      </c>
      <c r="C419" s="3" t="s">
        <v>114</v>
      </c>
      <c r="D419" s="3" t="s">
        <v>396</v>
      </c>
      <c r="E419" s="3" t="s">
        <v>399</v>
      </c>
      <c r="F419" s="3" t="n">
        <v>272</v>
      </c>
      <c r="G419" s="3" t="n">
        <v>172</v>
      </c>
      <c r="H419" s="3" t="n">
        <v>139</v>
      </c>
      <c r="I419" s="3" t="n">
        <v>183.33</v>
      </c>
      <c r="J419" s="3" t="n">
        <v>55.77</v>
      </c>
      <c r="K419" s="3" t="n">
        <v>20</v>
      </c>
      <c r="L419" s="3" t="s">
        <v>394</v>
      </c>
      <c r="M419" s="3" t="n">
        <v>1</v>
      </c>
      <c r="N419" s="3" t="n">
        <v>59.56</v>
      </c>
      <c r="O419" s="3" t="s">
        <v>404</v>
      </c>
    </row>
    <row r="420" customFormat="false" ht="15" hidden="false" customHeight="false" outlineLevel="0" collapsed="false">
      <c r="A420" s="3" t="s">
        <v>412</v>
      </c>
      <c r="B420" s="3" t="s">
        <v>85</v>
      </c>
      <c r="C420" s="3" t="s">
        <v>116</v>
      </c>
      <c r="D420" s="3" t="s">
        <v>392</v>
      </c>
      <c r="E420" s="3" t="s">
        <v>403</v>
      </c>
      <c r="F420" s="3" t="n">
        <v>189</v>
      </c>
      <c r="G420" s="3" t="n">
        <v>132</v>
      </c>
      <c r="H420" s="3" t="n">
        <v>196</v>
      </c>
      <c r="I420" s="3" t="n">
        <v>143.24</v>
      </c>
      <c r="J420" s="3" t="n">
        <v>30.15</v>
      </c>
      <c r="K420" s="3" t="n">
        <v>15</v>
      </c>
      <c r="L420" s="3" t="s">
        <v>394</v>
      </c>
      <c r="M420" s="3" t="n">
        <v>0</v>
      </c>
      <c r="N420" s="3" t="n">
        <v>26.17</v>
      </c>
      <c r="O420" s="3" t="s">
        <v>395</v>
      </c>
    </row>
    <row r="421" customFormat="false" ht="15" hidden="false" customHeight="false" outlineLevel="0" collapsed="false">
      <c r="A421" s="3" t="s">
        <v>412</v>
      </c>
      <c r="B421" s="3" t="s">
        <v>85</v>
      </c>
      <c r="C421" s="3" t="s">
        <v>118</v>
      </c>
      <c r="D421" s="3" t="s">
        <v>402</v>
      </c>
      <c r="E421" s="3" t="s">
        <v>403</v>
      </c>
      <c r="F421" s="3" t="n">
        <v>120</v>
      </c>
      <c r="G421" s="3" t="n">
        <v>46</v>
      </c>
      <c r="H421" s="3" t="n">
        <v>156</v>
      </c>
      <c r="I421" s="3" t="n">
        <v>53.06</v>
      </c>
      <c r="J421" s="3" t="n">
        <v>63.75</v>
      </c>
      <c r="K421" s="3" t="n">
        <v>5</v>
      </c>
      <c r="L421" s="3" t="s">
        <v>408</v>
      </c>
      <c r="M421" s="3" t="n">
        <v>0</v>
      </c>
      <c r="N421" s="3" t="n">
        <v>60.02</v>
      </c>
      <c r="O421" s="3" t="s">
        <v>404</v>
      </c>
    </row>
    <row r="422" customFormat="false" ht="15" hidden="false" customHeight="false" outlineLevel="0" collapsed="false">
      <c r="A422" s="3" t="s">
        <v>412</v>
      </c>
      <c r="B422" s="3" t="s">
        <v>85</v>
      </c>
      <c r="C422" s="3" t="s">
        <v>120</v>
      </c>
      <c r="D422" s="3" t="s">
        <v>392</v>
      </c>
      <c r="E422" s="3" t="s">
        <v>397</v>
      </c>
      <c r="F422" s="3" t="n">
        <v>248</v>
      </c>
      <c r="G422" s="3" t="n">
        <v>17</v>
      </c>
      <c r="H422" s="3" t="n">
        <v>200</v>
      </c>
      <c r="I422" s="3" t="n">
        <v>17.8</v>
      </c>
      <c r="J422" s="3" t="n">
        <v>97.51</v>
      </c>
      <c r="K422" s="3" t="n">
        <v>10</v>
      </c>
      <c r="L422" s="3" t="s">
        <v>408</v>
      </c>
      <c r="M422" s="3" t="n">
        <v>0</v>
      </c>
      <c r="N422" s="3" t="n">
        <v>97.99</v>
      </c>
      <c r="O422" s="3" t="s">
        <v>407</v>
      </c>
    </row>
    <row r="423" customFormat="false" ht="15" hidden="false" customHeight="false" outlineLevel="0" collapsed="false">
      <c r="A423" s="3" t="s">
        <v>412</v>
      </c>
      <c r="B423" s="3" t="s">
        <v>85</v>
      </c>
      <c r="C423" s="3" t="s">
        <v>122</v>
      </c>
      <c r="D423" s="3" t="s">
        <v>402</v>
      </c>
      <c r="E423" s="3" t="s">
        <v>399</v>
      </c>
      <c r="F423" s="3" t="n">
        <v>492</v>
      </c>
      <c r="G423" s="3" t="n">
        <v>38</v>
      </c>
      <c r="H423" s="3" t="n">
        <v>167</v>
      </c>
      <c r="I423" s="3" t="n">
        <v>47.82</v>
      </c>
      <c r="J423" s="3" t="n">
        <v>49.8</v>
      </c>
      <c r="K423" s="3" t="n">
        <v>5</v>
      </c>
      <c r="L423" s="3" t="s">
        <v>394</v>
      </c>
      <c r="M423" s="3" t="n">
        <v>1</v>
      </c>
      <c r="N423" s="3" t="n">
        <v>47.76</v>
      </c>
      <c r="O423" s="3" t="s">
        <v>395</v>
      </c>
    </row>
    <row r="424" customFormat="false" ht="15" hidden="false" customHeight="false" outlineLevel="0" collapsed="false">
      <c r="A424" s="3" t="s">
        <v>412</v>
      </c>
      <c r="B424" s="3" t="s">
        <v>85</v>
      </c>
      <c r="C424" s="3" t="s">
        <v>124</v>
      </c>
      <c r="D424" s="3" t="s">
        <v>396</v>
      </c>
      <c r="E424" s="3" t="s">
        <v>399</v>
      </c>
      <c r="F424" s="3" t="n">
        <v>355</v>
      </c>
      <c r="G424" s="3" t="n">
        <v>11</v>
      </c>
      <c r="H424" s="3" t="n">
        <v>26</v>
      </c>
      <c r="I424" s="3" t="n">
        <v>4.5</v>
      </c>
      <c r="J424" s="3" t="n">
        <v>33.3</v>
      </c>
      <c r="K424" s="3" t="n">
        <v>10</v>
      </c>
      <c r="L424" s="3" t="s">
        <v>394</v>
      </c>
      <c r="M424" s="3" t="n">
        <v>0</v>
      </c>
      <c r="N424" s="3" t="n">
        <v>37.71</v>
      </c>
      <c r="O424" s="3" t="s">
        <v>404</v>
      </c>
    </row>
    <row r="425" customFormat="false" ht="15" hidden="false" customHeight="false" outlineLevel="0" collapsed="false">
      <c r="A425" s="3" t="s">
        <v>412</v>
      </c>
      <c r="B425" s="3" t="s">
        <v>126</v>
      </c>
      <c r="C425" s="3" t="s">
        <v>86</v>
      </c>
      <c r="D425" s="3" t="s">
        <v>405</v>
      </c>
      <c r="E425" s="3" t="s">
        <v>403</v>
      </c>
      <c r="F425" s="3" t="n">
        <v>250</v>
      </c>
      <c r="G425" s="3" t="n">
        <v>161</v>
      </c>
      <c r="H425" s="3" t="n">
        <v>70</v>
      </c>
      <c r="I425" s="3" t="n">
        <v>171.45</v>
      </c>
      <c r="J425" s="3" t="n">
        <v>56.24</v>
      </c>
      <c r="K425" s="3" t="n">
        <v>15</v>
      </c>
      <c r="L425" s="3" t="s">
        <v>408</v>
      </c>
      <c r="M425" s="3" t="n">
        <v>1</v>
      </c>
      <c r="N425" s="3" t="n">
        <v>60.32</v>
      </c>
      <c r="O425" s="3" t="s">
        <v>407</v>
      </c>
    </row>
    <row r="426" customFormat="false" ht="15" hidden="false" customHeight="false" outlineLevel="0" collapsed="false">
      <c r="A426" s="3" t="s">
        <v>412</v>
      </c>
      <c r="B426" s="3" t="s">
        <v>126</v>
      </c>
      <c r="C426" s="3" t="s">
        <v>88</v>
      </c>
      <c r="D426" s="3" t="s">
        <v>402</v>
      </c>
      <c r="E426" s="3" t="s">
        <v>393</v>
      </c>
      <c r="F426" s="3" t="n">
        <v>182</v>
      </c>
      <c r="G426" s="3" t="n">
        <v>101</v>
      </c>
      <c r="H426" s="3" t="n">
        <v>81</v>
      </c>
      <c r="I426" s="3" t="n">
        <v>92.92</v>
      </c>
      <c r="J426" s="3" t="n">
        <v>43.43</v>
      </c>
      <c r="K426" s="3" t="n">
        <v>20</v>
      </c>
      <c r="L426" s="3" t="s">
        <v>398</v>
      </c>
      <c r="M426" s="3" t="n">
        <v>1</v>
      </c>
      <c r="N426" s="3" t="n">
        <v>39.61</v>
      </c>
      <c r="O426" s="3" t="s">
        <v>395</v>
      </c>
    </row>
    <row r="427" customFormat="false" ht="15" hidden="false" customHeight="false" outlineLevel="0" collapsed="false">
      <c r="A427" s="3" t="s">
        <v>412</v>
      </c>
      <c r="B427" s="3" t="s">
        <v>126</v>
      </c>
      <c r="C427" s="3" t="s">
        <v>90</v>
      </c>
      <c r="D427" s="3" t="s">
        <v>402</v>
      </c>
      <c r="E427" s="3" t="s">
        <v>393</v>
      </c>
      <c r="F427" s="3" t="n">
        <v>274</v>
      </c>
      <c r="G427" s="3" t="n">
        <v>263</v>
      </c>
      <c r="H427" s="3" t="n">
        <v>91</v>
      </c>
      <c r="I427" s="3" t="n">
        <v>257.46</v>
      </c>
      <c r="J427" s="3" t="n">
        <v>30.78</v>
      </c>
      <c r="K427" s="3" t="n">
        <v>10</v>
      </c>
      <c r="L427" s="3" t="s">
        <v>408</v>
      </c>
      <c r="M427" s="3" t="n">
        <v>0</v>
      </c>
      <c r="N427" s="3" t="n">
        <v>34.67</v>
      </c>
      <c r="O427" s="3" t="s">
        <v>400</v>
      </c>
    </row>
    <row r="428" customFormat="false" ht="15" hidden="false" customHeight="false" outlineLevel="0" collapsed="false">
      <c r="A428" s="3" t="s">
        <v>412</v>
      </c>
      <c r="B428" s="3" t="s">
        <v>126</v>
      </c>
      <c r="C428" s="3" t="s">
        <v>92</v>
      </c>
      <c r="D428" s="3" t="s">
        <v>405</v>
      </c>
      <c r="E428" s="3" t="s">
        <v>393</v>
      </c>
      <c r="F428" s="3" t="n">
        <v>148</v>
      </c>
      <c r="G428" s="3" t="n">
        <v>32</v>
      </c>
      <c r="H428" s="3" t="n">
        <v>142</v>
      </c>
      <c r="I428" s="3" t="n">
        <v>25.88</v>
      </c>
      <c r="J428" s="3" t="n">
        <v>82.85</v>
      </c>
      <c r="K428" s="3" t="n">
        <v>5</v>
      </c>
      <c r="L428" s="3" t="s">
        <v>398</v>
      </c>
      <c r="M428" s="3" t="n">
        <v>0</v>
      </c>
      <c r="N428" s="3" t="n">
        <v>78.98</v>
      </c>
      <c r="O428" s="3" t="s">
        <v>395</v>
      </c>
    </row>
    <row r="429" customFormat="false" ht="15" hidden="false" customHeight="false" outlineLevel="0" collapsed="false">
      <c r="A429" s="3" t="s">
        <v>412</v>
      </c>
      <c r="B429" s="3" t="s">
        <v>126</v>
      </c>
      <c r="C429" s="3" t="s">
        <v>94</v>
      </c>
      <c r="D429" s="3" t="s">
        <v>406</v>
      </c>
      <c r="E429" s="3" t="s">
        <v>399</v>
      </c>
      <c r="F429" s="3" t="n">
        <v>241</v>
      </c>
      <c r="G429" s="3" t="n">
        <v>209</v>
      </c>
      <c r="H429" s="3" t="n">
        <v>36</v>
      </c>
      <c r="I429" s="3" t="n">
        <v>212.58</v>
      </c>
      <c r="J429" s="3" t="n">
        <v>87.11</v>
      </c>
      <c r="K429" s="3" t="n">
        <v>0</v>
      </c>
      <c r="L429" s="3" t="s">
        <v>401</v>
      </c>
      <c r="M429" s="3" t="n">
        <v>1</v>
      </c>
      <c r="N429" s="3" t="n">
        <v>83.23</v>
      </c>
      <c r="O429" s="3" t="s">
        <v>407</v>
      </c>
    </row>
    <row r="430" customFormat="false" ht="15" hidden="false" customHeight="false" outlineLevel="0" collapsed="false">
      <c r="A430" s="3" t="s">
        <v>412</v>
      </c>
      <c r="B430" s="3" t="s">
        <v>126</v>
      </c>
      <c r="C430" s="3" t="s">
        <v>96</v>
      </c>
      <c r="D430" s="3" t="s">
        <v>392</v>
      </c>
      <c r="E430" s="3" t="s">
        <v>399</v>
      </c>
      <c r="F430" s="3" t="n">
        <v>131</v>
      </c>
      <c r="G430" s="3" t="n">
        <v>24</v>
      </c>
      <c r="H430" s="3" t="n">
        <v>176</v>
      </c>
      <c r="I430" s="3" t="n">
        <v>22.17</v>
      </c>
      <c r="J430" s="3" t="n">
        <v>56.68</v>
      </c>
      <c r="K430" s="3" t="n">
        <v>5</v>
      </c>
      <c r="L430" s="3" t="s">
        <v>401</v>
      </c>
      <c r="M430" s="3" t="n">
        <v>0</v>
      </c>
      <c r="N430" s="3" t="n">
        <v>60.18</v>
      </c>
      <c r="O430" s="3" t="s">
        <v>407</v>
      </c>
    </row>
    <row r="431" customFormat="false" ht="15" hidden="false" customHeight="false" outlineLevel="0" collapsed="false">
      <c r="A431" s="3" t="s">
        <v>412</v>
      </c>
      <c r="B431" s="3" t="s">
        <v>126</v>
      </c>
      <c r="C431" s="3" t="s">
        <v>98</v>
      </c>
      <c r="D431" s="3" t="s">
        <v>392</v>
      </c>
      <c r="E431" s="3" t="s">
        <v>397</v>
      </c>
      <c r="F431" s="3" t="n">
        <v>80</v>
      </c>
      <c r="G431" s="3" t="n">
        <v>20</v>
      </c>
      <c r="H431" s="3" t="n">
        <v>176</v>
      </c>
      <c r="I431" s="3" t="n">
        <v>34.05</v>
      </c>
      <c r="J431" s="3" t="n">
        <v>80.01</v>
      </c>
      <c r="K431" s="3" t="n">
        <v>5</v>
      </c>
      <c r="L431" s="3" t="s">
        <v>394</v>
      </c>
      <c r="M431" s="3" t="n">
        <v>1</v>
      </c>
      <c r="N431" s="3" t="n">
        <v>80.65</v>
      </c>
      <c r="O431" s="3" t="s">
        <v>404</v>
      </c>
    </row>
    <row r="432" customFormat="false" ht="15" hidden="false" customHeight="false" outlineLevel="0" collapsed="false">
      <c r="A432" s="3" t="s">
        <v>412</v>
      </c>
      <c r="B432" s="3" t="s">
        <v>126</v>
      </c>
      <c r="C432" s="3" t="s">
        <v>100</v>
      </c>
      <c r="D432" s="3" t="s">
        <v>406</v>
      </c>
      <c r="E432" s="3" t="s">
        <v>403</v>
      </c>
      <c r="F432" s="3" t="n">
        <v>483</v>
      </c>
      <c r="G432" s="3" t="n">
        <v>148</v>
      </c>
      <c r="H432" s="3" t="n">
        <v>111</v>
      </c>
      <c r="I432" s="3" t="n">
        <v>145.1</v>
      </c>
      <c r="J432" s="3" t="n">
        <v>41.24</v>
      </c>
      <c r="K432" s="3" t="n">
        <v>0</v>
      </c>
      <c r="L432" s="3" t="s">
        <v>401</v>
      </c>
      <c r="M432" s="3" t="n">
        <v>1</v>
      </c>
      <c r="N432" s="3" t="n">
        <v>44.9</v>
      </c>
      <c r="O432" s="3" t="s">
        <v>395</v>
      </c>
    </row>
    <row r="433" customFormat="false" ht="15" hidden="false" customHeight="false" outlineLevel="0" collapsed="false">
      <c r="A433" s="3" t="s">
        <v>412</v>
      </c>
      <c r="B433" s="3" t="s">
        <v>126</v>
      </c>
      <c r="C433" s="3" t="s">
        <v>102</v>
      </c>
      <c r="D433" s="3" t="s">
        <v>396</v>
      </c>
      <c r="E433" s="3" t="s">
        <v>399</v>
      </c>
      <c r="F433" s="3" t="n">
        <v>228</v>
      </c>
      <c r="G433" s="3" t="n">
        <v>100</v>
      </c>
      <c r="H433" s="3" t="n">
        <v>183</v>
      </c>
      <c r="I433" s="3" t="n">
        <v>109.92</v>
      </c>
      <c r="J433" s="3" t="n">
        <v>96.96</v>
      </c>
      <c r="K433" s="3" t="n">
        <v>5</v>
      </c>
      <c r="L433" s="3" t="s">
        <v>401</v>
      </c>
      <c r="M433" s="3" t="n">
        <v>1</v>
      </c>
      <c r="N433" s="3" t="n">
        <v>98.62</v>
      </c>
      <c r="O433" s="3" t="s">
        <v>407</v>
      </c>
    </row>
    <row r="434" customFormat="false" ht="15" hidden="false" customHeight="false" outlineLevel="0" collapsed="false">
      <c r="A434" s="3" t="s">
        <v>412</v>
      </c>
      <c r="B434" s="3" t="s">
        <v>126</v>
      </c>
      <c r="C434" s="3" t="s">
        <v>104</v>
      </c>
      <c r="D434" s="3" t="s">
        <v>396</v>
      </c>
      <c r="E434" s="3" t="s">
        <v>403</v>
      </c>
      <c r="F434" s="3" t="n">
        <v>202</v>
      </c>
      <c r="G434" s="3" t="n">
        <v>129</v>
      </c>
      <c r="H434" s="3" t="n">
        <v>55</v>
      </c>
      <c r="I434" s="3" t="n">
        <v>119.12</v>
      </c>
      <c r="J434" s="3" t="n">
        <v>87.69</v>
      </c>
      <c r="K434" s="3" t="n">
        <v>20</v>
      </c>
      <c r="L434" s="3" t="s">
        <v>408</v>
      </c>
      <c r="M434" s="3" t="n">
        <v>0</v>
      </c>
      <c r="N434" s="3" t="n">
        <v>83.87</v>
      </c>
      <c r="O434" s="3" t="s">
        <v>395</v>
      </c>
    </row>
    <row r="435" customFormat="false" ht="15" hidden="false" customHeight="false" outlineLevel="0" collapsed="false">
      <c r="A435" s="3" t="s">
        <v>412</v>
      </c>
      <c r="B435" s="3" t="s">
        <v>126</v>
      </c>
      <c r="C435" s="3" t="s">
        <v>106</v>
      </c>
      <c r="D435" s="3" t="s">
        <v>405</v>
      </c>
      <c r="E435" s="3" t="s">
        <v>403</v>
      </c>
      <c r="F435" s="3" t="n">
        <v>440</v>
      </c>
      <c r="G435" s="3" t="n">
        <v>257</v>
      </c>
      <c r="H435" s="3" t="n">
        <v>41</v>
      </c>
      <c r="I435" s="3" t="n">
        <v>266.89</v>
      </c>
      <c r="J435" s="3" t="n">
        <v>74.45</v>
      </c>
      <c r="K435" s="3" t="n">
        <v>5</v>
      </c>
      <c r="L435" s="3" t="s">
        <v>401</v>
      </c>
      <c r="M435" s="3" t="n">
        <v>1</v>
      </c>
      <c r="N435" s="3" t="n">
        <v>76.99</v>
      </c>
      <c r="O435" s="3" t="s">
        <v>407</v>
      </c>
    </row>
    <row r="436" customFormat="false" ht="15" hidden="false" customHeight="false" outlineLevel="0" collapsed="false">
      <c r="A436" s="3" t="s">
        <v>412</v>
      </c>
      <c r="B436" s="3" t="s">
        <v>126</v>
      </c>
      <c r="C436" s="3" t="s">
        <v>108</v>
      </c>
      <c r="D436" s="3" t="s">
        <v>392</v>
      </c>
      <c r="E436" s="3" t="s">
        <v>399</v>
      </c>
      <c r="F436" s="3" t="n">
        <v>264</v>
      </c>
      <c r="G436" s="3" t="n">
        <v>262</v>
      </c>
      <c r="H436" s="3" t="n">
        <v>29</v>
      </c>
      <c r="I436" s="3" t="n">
        <v>269.59</v>
      </c>
      <c r="J436" s="3" t="n">
        <v>53.28</v>
      </c>
      <c r="K436" s="3" t="n">
        <v>5</v>
      </c>
      <c r="L436" s="3" t="s">
        <v>394</v>
      </c>
      <c r="M436" s="3" t="n">
        <v>0</v>
      </c>
      <c r="N436" s="3" t="n">
        <v>56.77</v>
      </c>
      <c r="O436" s="3" t="s">
        <v>400</v>
      </c>
    </row>
    <row r="437" customFormat="false" ht="15" hidden="false" customHeight="false" outlineLevel="0" collapsed="false">
      <c r="A437" s="3" t="s">
        <v>412</v>
      </c>
      <c r="B437" s="3" t="s">
        <v>126</v>
      </c>
      <c r="C437" s="3" t="s">
        <v>110</v>
      </c>
      <c r="D437" s="3" t="s">
        <v>396</v>
      </c>
      <c r="E437" s="3" t="s">
        <v>403</v>
      </c>
      <c r="F437" s="3" t="n">
        <v>296</v>
      </c>
      <c r="G437" s="3" t="n">
        <v>200</v>
      </c>
      <c r="H437" s="3" t="n">
        <v>20</v>
      </c>
      <c r="I437" s="3" t="n">
        <v>214.64</v>
      </c>
      <c r="J437" s="3" t="n">
        <v>25.38</v>
      </c>
      <c r="K437" s="3" t="n">
        <v>15</v>
      </c>
      <c r="L437" s="3" t="s">
        <v>401</v>
      </c>
      <c r="M437" s="3" t="n">
        <v>1</v>
      </c>
      <c r="N437" s="3" t="n">
        <v>25.99</v>
      </c>
      <c r="O437" s="3" t="s">
        <v>407</v>
      </c>
    </row>
    <row r="438" customFormat="false" ht="15" hidden="false" customHeight="false" outlineLevel="0" collapsed="false">
      <c r="A438" s="3" t="s">
        <v>412</v>
      </c>
      <c r="B438" s="3" t="s">
        <v>126</v>
      </c>
      <c r="C438" s="3" t="s">
        <v>112</v>
      </c>
      <c r="D438" s="3" t="s">
        <v>392</v>
      </c>
      <c r="E438" s="3" t="s">
        <v>399</v>
      </c>
      <c r="F438" s="3" t="n">
        <v>201</v>
      </c>
      <c r="G438" s="3" t="n">
        <v>56</v>
      </c>
      <c r="H438" s="3" t="n">
        <v>187</v>
      </c>
      <c r="I438" s="3" t="n">
        <v>69.26</v>
      </c>
      <c r="J438" s="3" t="n">
        <v>23.84</v>
      </c>
      <c r="K438" s="3" t="n">
        <v>10</v>
      </c>
      <c r="L438" s="3" t="s">
        <v>398</v>
      </c>
      <c r="M438" s="3" t="n">
        <v>1</v>
      </c>
      <c r="N438" s="3" t="n">
        <v>19.73</v>
      </c>
      <c r="O438" s="3" t="s">
        <v>407</v>
      </c>
    </row>
    <row r="439" customFormat="false" ht="15" hidden="false" customHeight="false" outlineLevel="0" collapsed="false">
      <c r="A439" s="3" t="s">
        <v>412</v>
      </c>
      <c r="B439" s="3" t="s">
        <v>126</v>
      </c>
      <c r="C439" s="3" t="s">
        <v>114</v>
      </c>
      <c r="D439" s="3" t="s">
        <v>406</v>
      </c>
      <c r="E439" s="3" t="s">
        <v>397</v>
      </c>
      <c r="F439" s="3" t="n">
        <v>70</v>
      </c>
      <c r="G439" s="3" t="n">
        <v>24</v>
      </c>
      <c r="H439" s="3" t="n">
        <v>28</v>
      </c>
      <c r="I439" s="3" t="n">
        <v>17.01</v>
      </c>
      <c r="J439" s="3" t="n">
        <v>52.21</v>
      </c>
      <c r="K439" s="3" t="n">
        <v>20</v>
      </c>
      <c r="L439" s="3" t="s">
        <v>401</v>
      </c>
      <c r="M439" s="3" t="n">
        <v>0</v>
      </c>
      <c r="N439" s="3" t="n">
        <v>56.17</v>
      </c>
      <c r="O439" s="3" t="s">
        <v>400</v>
      </c>
    </row>
    <row r="440" customFormat="false" ht="15" hidden="false" customHeight="false" outlineLevel="0" collapsed="false">
      <c r="A440" s="3" t="s">
        <v>412</v>
      </c>
      <c r="B440" s="3" t="s">
        <v>126</v>
      </c>
      <c r="C440" s="3" t="s">
        <v>116</v>
      </c>
      <c r="D440" s="3" t="s">
        <v>405</v>
      </c>
      <c r="E440" s="3" t="s">
        <v>399</v>
      </c>
      <c r="F440" s="3" t="n">
        <v>176</v>
      </c>
      <c r="G440" s="3" t="n">
        <v>105</v>
      </c>
      <c r="H440" s="3" t="n">
        <v>174</v>
      </c>
      <c r="I440" s="3" t="n">
        <v>106.4</v>
      </c>
      <c r="J440" s="3" t="n">
        <v>79.34</v>
      </c>
      <c r="K440" s="3" t="n">
        <v>20</v>
      </c>
      <c r="L440" s="3" t="s">
        <v>401</v>
      </c>
      <c r="M440" s="3" t="n">
        <v>0</v>
      </c>
      <c r="N440" s="3" t="n">
        <v>79.16</v>
      </c>
      <c r="O440" s="3" t="s">
        <v>407</v>
      </c>
    </row>
    <row r="441" customFormat="false" ht="15" hidden="false" customHeight="false" outlineLevel="0" collapsed="false">
      <c r="A441" s="3" t="s">
        <v>412</v>
      </c>
      <c r="B441" s="3" t="s">
        <v>126</v>
      </c>
      <c r="C441" s="3" t="s">
        <v>118</v>
      </c>
      <c r="D441" s="3" t="s">
        <v>392</v>
      </c>
      <c r="E441" s="3" t="s">
        <v>403</v>
      </c>
      <c r="F441" s="3" t="n">
        <v>399</v>
      </c>
      <c r="G441" s="3" t="n">
        <v>294</v>
      </c>
      <c r="H441" s="3" t="n">
        <v>100</v>
      </c>
      <c r="I441" s="3" t="n">
        <v>302.77</v>
      </c>
      <c r="J441" s="3" t="n">
        <v>13.13</v>
      </c>
      <c r="K441" s="3" t="n">
        <v>15</v>
      </c>
      <c r="L441" s="3" t="s">
        <v>408</v>
      </c>
      <c r="M441" s="3" t="n">
        <v>0</v>
      </c>
      <c r="N441" s="3" t="n">
        <v>9.46</v>
      </c>
      <c r="O441" s="3" t="s">
        <v>400</v>
      </c>
    </row>
    <row r="442" customFormat="false" ht="15" hidden="false" customHeight="false" outlineLevel="0" collapsed="false">
      <c r="A442" s="3" t="s">
        <v>412</v>
      </c>
      <c r="B442" s="3" t="s">
        <v>126</v>
      </c>
      <c r="C442" s="3" t="s">
        <v>120</v>
      </c>
      <c r="D442" s="3" t="s">
        <v>392</v>
      </c>
      <c r="E442" s="3" t="s">
        <v>403</v>
      </c>
      <c r="F442" s="3" t="n">
        <v>294</v>
      </c>
      <c r="G442" s="3" t="n">
        <v>142</v>
      </c>
      <c r="H442" s="3" t="n">
        <v>63</v>
      </c>
      <c r="I442" s="3" t="n">
        <v>154.25</v>
      </c>
      <c r="J442" s="3" t="n">
        <v>23.28</v>
      </c>
      <c r="K442" s="3" t="n">
        <v>15</v>
      </c>
      <c r="L442" s="3" t="s">
        <v>401</v>
      </c>
      <c r="M442" s="3" t="n">
        <v>1</v>
      </c>
      <c r="N442" s="3" t="n">
        <v>23.86</v>
      </c>
      <c r="O442" s="3" t="s">
        <v>395</v>
      </c>
    </row>
    <row r="443" customFormat="false" ht="15" hidden="false" customHeight="false" outlineLevel="0" collapsed="false">
      <c r="A443" s="3" t="s">
        <v>412</v>
      </c>
      <c r="B443" s="3" t="s">
        <v>126</v>
      </c>
      <c r="C443" s="3" t="s">
        <v>122</v>
      </c>
      <c r="D443" s="3" t="s">
        <v>402</v>
      </c>
      <c r="E443" s="3" t="s">
        <v>397</v>
      </c>
      <c r="F443" s="3" t="n">
        <v>222</v>
      </c>
      <c r="G443" s="3" t="n">
        <v>55</v>
      </c>
      <c r="H443" s="3" t="n">
        <v>27</v>
      </c>
      <c r="I443" s="3" t="n">
        <v>68.88</v>
      </c>
      <c r="J443" s="3" t="n">
        <v>67.3</v>
      </c>
      <c r="K443" s="3" t="n">
        <v>10</v>
      </c>
      <c r="L443" s="3" t="s">
        <v>398</v>
      </c>
      <c r="M443" s="3" t="n">
        <v>1</v>
      </c>
      <c r="N443" s="3" t="n">
        <v>66.27</v>
      </c>
      <c r="O443" s="3" t="s">
        <v>407</v>
      </c>
    </row>
    <row r="444" customFormat="false" ht="15" hidden="false" customHeight="false" outlineLevel="0" collapsed="false">
      <c r="A444" s="3" t="s">
        <v>412</v>
      </c>
      <c r="B444" s="3" t="s">
        <v>126</v>
      </c>
      <c r="C444" s="3" t="s">
        <v>124</v>
      </c>
      <c r="D444" s="3" t="s">
        <v>402</v>
      </c>
      <c r="E444" s="3" t="s">
        <v>397</v>
      </c>
      <c r="F444" s="3" t="n">
        <v>123</v>
      </c>
      <c r="G444" s="3" t="n">
        <v>24</v>
      </c>
      <c r="H444" s="3" t="n">
        <v>110</v>
      </c>
      <c r="I444" s="3" t="n">
        <v>27.69</v>
      </c>
      <c r="J444" s="3" t="n">
        <v>17.35</v>
      </c>
      <c r="K444" s="3" t="n">
        <v>20</v>
      </c>
      <c r="L444" s="3" t="s">
        <v>401</v>
      </c>
      <c r="M444" s="3" t="n">
        <v>1</v>
      </c>
      <c r="N444" s="3" t="n">
        <v>13.22</v>
      </c>
      <c r="O444" s="3" t="s">
        <v>395</v>
      </c>
    </row>
    <row r="445" customFormat="false" ht="15" hidden="false" customHeight="false" outlineLevel="0" collapsed="false">
      <c r="A445" s="3" t="s">
        <v>412</v>
      </c>
      <c r="B445" s="3" t="s">
        <v>147</v>
      </c>
      <c r="C445" s="3" t="s">
        <v>86</v>
      </c>
      <c r="D445" s="3" t="s">
        <v>402</v>
      </c>
      <c r="E445" s="3" t="s">
        <v>399</v>
      </c>
      <c r="F445" s="3" t="n">
        <v>388</v>
      </c>
      <c r="G445" s="3" t="n">
        <v>53</v>
      </c>
      <c r="H445" s="3" t="n">
        <v>55</v>
      </c>
      <c r="I445" s="3" t="n">
        <v>47.35</v>
      </c>
      <c r="J445" s="3" t="n">
        <v>93.06</v>
      </c>
      <c r="K445" s="3" t="n">
        <v>0</v>
      </c>
      <c r="L445" s="3" t="s">
        <v>408</v>
      </c>
      <c r="M445" s="3" t="n">
        <v>1</v>
      </c>
      <c r="N445" s="3" t="n">
        <v>88.15</v>
      </c>
      <c r="O445" s="3" t="s">
        <v>400</v>
      </c>
    </row>
    <row r="446" customFormat="false" ht="15" hidden="false" customHeight="false" outlineLevel="0" collapsed="false">
      <c r="A446" s="3" t="s">
        <v>412</v>
      </c>
      <c r="B446" s="3" t="s">
        <v>147</v>
      </c>
      <c r="C446" s="3" t="s">
        <v>88</v>
      </c>
      <c r="D446" s="3" t="s">
        <v>392</v>
      </c>
      <c r="E446" s="3" t="s">
        <v>397</v>
      </c>
      <c r="F446" s="3" t="n">
        <v>191</v>
      </c>
      <c r="G446" s="3" t="n">
        <v>189</v>
      </c>
      <c r="H446" s="3" t="n">
        <v>177</v>
      </c>
      <c r="I446" s="3" t="n">
        <v>187.88</v>
      </c>
      <c r="J446" s="3" t="n">
        <v>84.04</v>
      </c>
      <c r="K446" s="3" t="n">
        <v>20</v>
      </c>
      <c r="L446" s="3" t="s">
        <v>401</v>
      </c>
      <c r="M446" s="3" t="n">
        <v>0</v>
      </c>
      <c r="N446" s="3" t="n">
        <v>87.67</v>
      </c>
      <c r="O446" s="3" t="s">
        <v>404</v>
      </c>
    </row>
    <row r="447" customFormat="false" ht="15" hidden="false" customHeight="false" outlineLevel="0" collapsed="false">
      <c r="A447" s="3" t="s">
        <v>412</v>
      </c>
      <c r="B447" s="3" t="s">
        <v>147</v>
      </c>
      <c r="C447" s="3" t="s">
        <v>90</v>
      </c>
      <c r="D447" s="3" t="s">
        <v>405</v>
      </c>
      <c r="E447" s="3" t="s">
        <v>403</v>
      </c>
      <c r="F447" s="3" t="n">
        <v>370</v>
      </c>
      <c r="G447" s="3" t="n">
        <v>146</v>
      </c>
      <c r="H447" s="3" t="n">
        <v>68</v>
      </c>
      <c r="I447" s="3" t="n">
        <v>155.15</v>
      </c>
      <c r="J447" s="3" t="n">
        <v>25.75</v>
      </c>
      <c r="K447" s="3" t="n">
        <v>0</v>
      </c>
      <c r="L447" s="3" t="s">
        <v>394</v>
      </c>
      <c r="M447" s="3" t="n">
        <v>1</v>
      </c>
      <c r="N447" s="3" t="n">
        <v>30.21</v>
      </c>
      <c r="O447" s="3" t="s">
        <v>400</v>
      </c>
    </row>
    <row r="448" customFormat="false" ht="15" hidden="false" customHeight="false" outlineLevel="0" collapsed="false">
      <c r="A448" s="3" t="s">
        <v>412</v>
      </c>
      <c r="B448" s="3" t="s">
        <v>147</v>
      </c>
      <c r="C448" s="3" t="s">
        <v>92</v>
      </c>
      <c r="D448" s="3" t="s">
        <v>405</v>
      </c>
      <c r="E448" s="3" t="s">
        <v>403</v>
      </c>
      <c r="F448" s="3" t="n">
        <v>463</v>
      </c>
      <c r="G448" s="3" t="n">
        <v>186</v>
      </c>
      <c r="H448" s="3" t="n">
        <v>77</v>
      </c>
      <c r="I448" s="3" t="n">
        <v>188.51</v>
      </c>
      <c r="J448" s="3" t="n">
        <v>76.32</v>
      </c>
      <c r="K448" s="3" t="n">
        <v>20</v>
      </c>
      <c r="L448" s="3" t="s">
        <v>401</v>
      </c>
      <c r="M448" s="3" t="n">
        <v>0</v>
      </c>
      <c r="N448" s="3" t="n">
        <v>79.04</v>
      </c>
      <c r="O448" s="3" t="s">
        <v>400</v>
      </c>
    </row>
    <row r="449" customFormat="false" ht="15" hidden="false" customHeight="false" outlineLevel="0" collapsed="false">
      <c r="A449" s="3" t="s">
        <v>412</v>
      </c>
      <c r="B449" s="3" t="s">
        <v>147</v>
      </c>
      <c r="C449" s="3" t="s">
        <v>94</v>
      </c>
      <c r="D449" s="3" t="s">
        <v>396</v>
      </c>
      <c r="E449" s="3" t="s">
        <v>399</v>
      </c>
      <c r="F449" s="3" t="n">
        <v>140</v>
      </c>
      <c r="G449" s="3" t="n">
        <v>77</v>
      </c>
      <c r="H449" s="3" t="n">
        <v>149</v>
      </c>
      <c r="I449" s="3" t="n">
        <v>90.49</v>
      </c>
      <c r="J449" s="3" t="n">
        <v>49.52</v>
      </c>
      <c r="K449" s="3" t="n">
        <v>20</v>
      </c>
      <c r="L449" s="3" t="s">
        <v>408</v>
      </c>
      <c r="M449" s="3" t="n">
        <v>1</v>
      </c>
      <c r="N449" s="3" t="n">
        <v>54.31</v>
      </c>
      <c r="O449" s="3" t="s">
        <v>407</v>
      </c>
    </row>
    <row r="450" customFormat="false" ht="15" hidden="false" customHeight="false" outlineLevel="0" collapsed="false">
      <c r="A450" s="3" t="s">
        <v>412</v>
      </c>
      <c r="B450" s="3" t="s">
        <v>147</v>
      </c>
      <c r="C450" s="3" t="s">
        <v>96</v>
      </c>
      <c r="D450" s="3" t="s">
        <v>405</v>
      </c>
      <c r="E450" s="3" t="s">
        <v>403</v>
      </c>
      <c r="F450" s="3" t="n">
        <v>314</v>
      </c>
      <c r="G450" s="3" t="n">
        <v>225</v>
      </c>
      <c r="H450" s="3" t="n">
        <v>135</v>
      </c>
      <c r="I450" s="3" t="n">
        <v>220.06</v>
      </c>
      <c r="J450" s="3" t="n">
        <v>93.81</v>
      </c>
      <c r="K450" s="3" t="n">
        <v>0</v>
      </c>
      <c r="L450" s="3" t="s">
        <v>408</v>
      </c>
      <c r="M450" s="3" t="n">
        <v>0</v>
      </c>
      <c r="N450" s="3" t="n">
        <v>89.3</v>
      </c>
      <c r="O450" s="3" t="s">
        <v>395</v>
      </c>
    </row>
    <row r="451" customFormat="false" ht="15" hidden="false" customHeight="false" outlineLevel="0" collapsed="false">
      <c r="A451" s="3" t="s">
        <v>412</v>
      </c>
      <c r="B451" s="3" t="s">
        <v>147</v>
      </c>
      <c r="C451" s="3" t="s">
        <v>98</v>
      </c>
      <c r="D451" s="3" t="s">
        <v>406</v>
      </c>
      <c r="E451" s="3" t="s">
        <v>403</v>
      </c>
      <c r="F451" s="3" t="n">
        <v>79</v>
      </c>
      <c r="G451" s="3" t="n">
        <v>66</v>
      </c>
      <c r="H451" s="3" t="n">
        <v>69</v>
      </c>
      <c r="I451" s="3" t="n">
        <v>74.14</v>
      </c>
      <c r="J451" s="3" t="n">
        <v>76.7</v>
      </c>
      <c r="K451" s="3" t="n">
        <v>10</v>
      </c>
      <c r="L451" s="3" t="s">
        <v>394</v>
      </c>
      <c r="M451" s="3" t="n">
        <v>1</v>
      </c>
      <c r="N451" s="3" t="n">
        <v>73.33</v>
      </c>
      <c r="O451" s="3" t="s">
        <v>400</v>
      </c>
    </row>
    <row r="452" customFormat="false" ht="15" hidden="false" customHeight="false" outlineLevel="0" collapsed="false">
      <c r="A452" s="3" t="s">
        <v>412</v>
      </c>
      <c r="B452" s="3" t="s">
        <v>147</v>
      </c>
      <c r="C452" s="3" t="s">
        <v>100</v>
      </c>
      <c r="D452" s="3" t="s">
        <v>402</v>
      </c>
      <c r="E452" s="3" t="s">
        <v>397</v>
      </c>
      <c r="F452" s="3" t="n">
        <v>411</v>
      </c>
      <c r="G452" s="3" t="n">
        <v>35</v>
      </c>
      <c r="H452" s="3" t="n">
        <v>83</v>
      </c>
      <c r="I452" s="3" t="n">
        <v>35.46</v>
      </c>
      <c r="J452" s="3" t="n">
        <v>24.28</v>
      </c>
      <c r="K452" s="3" t="n">
        <v>15</v>
      </c>
      <c r="L452" s="3" t="s">
        <v>408</v>
      </c>
      <c r="M452" s="3" t="n">
        <v>1</v>
      </c>
      <c r="N452" s="3" t="n">
        <v>21.81</v>
      </c>
      <c r="O452" s="3" t="s">
        <v>404</v>
      </c>
    </row>
    <row r="453" customFormat="false" ht="15" hidden="false" customHeight="false" outlineLevel="0" collapsed="false">
      <c r="A453" s="3" t="s">
        <v>412</v>
      </c>
      <c r="B453" s="3" t="s">
        <v>147</v>
      </c>
      <c r="C453" s="3" t="s">
        <v>102</v>
      </c>
      <c r="D453" s="3" t="s">
        <v>402</v>
      </c>
      <c r="E453" s="3" t="s">
        <v>399</v>
      </c>
      <c r="F453" s="3" t="n">
        <v>117</v>
      </c>
      <c r="G453" s="3" t="n">
        <v>1</v>
      </c>
      <c r="H453" s="3" t="n">
        <v>64</v>
      </c>
      <c r="I453" s="3" t="n">
        <v>7.16</v>
      </c>
      <c r="J453" s="3" t="n">
        <v>13.87</v>
      </c>
      <c r="K453" s="3" t="n">
        <v>15</v>
      </c>
      <c r="L453" s="3" t="s">
        <v>394</v>
      </c>
      <c r="M453" s="3" t="n">
        <v>1</v>
      </c>
      <c r="N453" s="3" t="n">
        <v>14.32</v>
      </c>
      <c r="O453" s="3" t="s">
        <v>407</v>
      </c>
    </row>
    <row r="454" customFormat="false" ht="15" hidden="false" customHeight="false" outlineLevel="0" collapsed="false">
      <c r="A454" s="3" t="s">
        <v>412</v>
      </c>
      <c r="B454" s="3" t="s">
        <v>147</v>
      </c>
      <c r="C454" s="3" t="s">
        <v>104</v>
      </c>
      <c r="D454" s="3" t="s">
        <v>406</v>
      </c>
      <c r="E454" s="3" t="s">
        <v>399</v>
      </c>
      <c r="F454" s="3" t="n">
        <v>109</v>
      </c>
      <c r="G454" s="3" t="n">
        <v>95</v>
      </c>
      <c r="H454" s="3" t="n">
        <v>73</v>
      </c>
      <c r="I454" s="3" t="n">
        <v>90.43</v>
      </c>
      <c r="J454" s="3" t="n">
        <v>14.93</v>
      </c>
      <c r="K454" s="3" t="n">
        <v>10</v>
      </c>
      <c r="L454" s="3" t="s">
        <v>398</v>
      </c>
      <c r="M454" s="3" t="n">
        <v>0</v>
      </c>
      <c r="N454" s="3" t="n">
        <v>17.34</v>
      </c>
      <c r="O454" s="3" t="s">
        <v>404</v>
      </c>
    </row>
    <row r="455" customFormat="false" ht="15" hidden="false" customHeight="false" outlineLevel="0" collapsed="false">
      <c r="A455" s="3" t="s">
        <v>412</v>
      </c>
      <c r="B455" s="3" t="s">
        <v>147</v>
      </c>
      <c r="C455" s="3" t="s">
        <v>106</v>
      </c>
      <c r="D455" s="3" t="s">
        <v>402</v>
      </c>
      <c r="E455" s="3" t="s">
        <v>403</v>
      </c>
      <c r="F455" s="3" t="n">
        <v>438</v>
      </c>
      <c r="G455" s="3" t="n">
        <v>255</v>
      </c>
      <c r="H455" s="3" t="n">
        <v>85</v>
      </c>
      <c r="I455" s="3" t="n">
        <v>269.91</v>
      </c>
      <c r="J455" s="3" t="n">
        <v>22.22</v>
      </c>
      <c r="K455" s="3" t="n">
        <v>10</v>
      </c>
      <c r="L455" s="3" t="s">
        <v>408</v>
      </c>
      <c r="M455" s="3" t="n">
        <v>1</v>
      </c>
      <c r="N455" s="3" t="n">
        <v>25.17</v>
      </c>
      <c r="O455" s="3" t="s">
        <v>407</v>
      </c>
    </row>
    <row r="456" customFormat="false" ht="15" hidden="false" customHeight="false" outlineLevel="0" collapsed="false">
      <c r="A456" s="3" t="s">
        <v>412</v>
      </c>
      <c r="B456" s="3" t="s">
        <v>147</v>
      </c>
      <c r="C456" s="3" t="s">
        <v>108</v>
      </c>
      <c r="D456" s="3" t="s">
        <v>396</v>
      </c>
      <c r="E456" s="3" t="s">
        <v>403</v>
      </c>
      <c r="F456" s="3" t="n">
        <v>480</v>
      </c>
      <c r="G456" s="3" t="n">
        <v>132</v>
      </c>
      <c r="H456" s="3" t="n">
        <v>174</v>
      </c>
      <c r="I456" s="3" t="n">
        <v>122.08</v>
      </c>
      <c r="J456" s="3" t="n">
        <v>57.69</v>
      </c>
      <c r="K456" s="3" t="n">
        <v>5</v>
      </c>
      <c r="L456" s="3" t="s">
        <v>401</v>
      </c>
      <c r="M456" s="3" t="n">
        <v>0</v>
      </c>
      <c r="N456" s="3" t="n">
        <v>56.53</v>
      </c>
      <c r="O456" s="3" t="s">
        <v>404</v>
      </c>
    </row>
    <row r="457" customFormat="false" ht="15" hidden="false" customHeight="false" outlineLevel="0" collapsed="false">
      <c r="A457" s="3" t="s">
        <v>412</v>
      </c>
      <c r="B457" s="3" t="s">
        <v>147</v>
      </c>
      <c r="C457" s="3" t="s">
        <v>110</v>
      </c>
      <c r="D457" s="3" t="s">
        <v>405</v>
      </c>
      <c r="E457" s="3" t="s">
        <v>403</v>
      </c>
      <c r="F457" s="3" t="n">
        <v>284</v>
      </c>
      <c r="G457" s="3" t="n">
        <v>234</v>
      </c>
      <c r="H457" s="3" t="n">
        <v>168</v>
      </c>
      <c r="I457" s="3" t="n">
        <v>232.6</v>
      </c>
      <c r="J457" s="3" t="n">
        <v>80.36</v>
      </c>
      <c r="K457" s="3" t="n">
        <v>15</v>
      </c>
      <c r="L457" s="3" t="s">
        <v>394</v>
      </c>
      <c r="M457" s="3" t="n">
        <v>1</v>
      </c>
      <c r="N457" s="3" t="n">
        <v>78.62</v>
      </c>
      <c r="O457" s="3" t="s">
        <v>404</v>
      </c>
    </row>
    <row r="458" customFormat="false" ht="15" hidden="false" customHeight="false" outlineLevel="0" collapsed="false">
      <c r="A458" s="3" t="s">
        <v>412</v>
      </c>
      <c r="B458" s="3" t="s">
        <v>147</v>
      </c>
      <c r="C458" s="3" t="s">
        <v>112</v>
      </c>
      <c r="D458" s="3" t="s">
        <v>405</v>
      </c>
      <c r="E458" s="3" t="s">
        <v>397</v>
      </c>
      <c r="F458" s="3" t="n">
        <v>444</v>
      </c>
      <c r="G458" s="3" t="n">
        <v>42</v>
      </c>
      <c r="H458" s="3" t="n">
        <v>86</v>
      </c>
      <c r="I458" s="3" t="n">
        <v>44.15</v>
      </c>
      <c r="J458" s="3" t="n">
        <v>40.6</v>
      </c>
      <c r="K458" s="3" t="n">
        <v>10</v>
      </c>
      <c r="L458" s="3" t="s">
        <v>394</v>
      </c>
      <c r="M458" s="3" t="n">
        <v>1</v>
      </c>
      <c r="N458" s="3" t="n">
        <v>37.42</v>
      </c>
      <c r="O458" s="3" t="s">
        <v>404</v>
      </c>
    </row>
    <row r="459" customFormat="false" ht="15" hidden="false" customHeight="false" outlineLevel="0" collapsed="false">
      <c r="A459" s="3" t="s">
        <v>412</v>
      </c>
      <c r="B459" s="3" t="s">
        <v>147</v>
      </c>
      <c r="C459" s="3" t="s">
        <v>114</v>
      </c>
      <c r="D459" s="3" t="s">
        <v>405</v>
      </c>
      <c r="E459" s="3" t="s">
        <v>397</v>
      </c>
      <c r="F459" s="3" t="n">
        <v>278</v>
      </c>
      <c r="G459" s="3" t="n">
        <v>25</v>
      </c>
      <c r="H459" s="3" t="n">
        <v>81</v>
      </c>
      <c r="I459" s="3" t="n">
        <v>28.28</v>
      </c>
      <c r="J459" s="3" t="n">
        <v>86.8</v>
      </c>
      <c r="K459" s="3" t="n">
        <v>0</v>
      </c>
      <c r="L459" s="3" t="s">
        <v>408</v>
      </c>
      <c r="M459" s="3" t="n">
        <v>0</v>
      </c>
      <c r="N459" s="3" t="n">
        <v>90.41</v>
      </c>
      <c r="O459" s="3" t="s">
        <v>395</v>
      </c>
    </row>
    <row r="460" customFormat="false" ht="15" hidden="false" customHeight="false" outlineLevel="0" collapsed="false">
      <c r="A460" s="3" t="s">
        <v>412</v>
      </c>
      <c r="B460" s="3" t="s">
        <v>147</v>
      </c>
      <c r="C460" s="3" t="s">
        <v>116</v>
      </c>
      <c r="D460" s="3" t="s">
        <v>396</v>
      </c>
      <c r="E460" s="3" t="s">
        <v>393</v>
      </c>
      <c r="F460" s="3" t="n">
        <v>202</v>
      </c>
      <c r="G460" s="3" t="n">
        <v>30</v>
      </c>
      <c r="H460" s="3" t="n">
        <v>195</v>
      </c>
      <c r="I460" s="3" t="n">
        <v>29.93</v>
      </c>
      <c r="J460" s="3" t="n">
        <v>30.33</v>
      </c>
      <c r="K460" s="3" t="n">
        <v>15</v>
      </c>
      <c r="L460" s="3" t="s">
        <v>408</v>
      </c>
      <c r="M460" s="3" t="n">
        <v>1</v>
      </c>
      <c r="N460" s="3" t="n">
        <v>27.66</v>
      </c>
      <c r="O460" s="3" t="s">
        <v>395</v>
      </c>
    </row>
    <row r="461" customFormat="false" ht="15" hidden="false" customHeight="false" outlineLevel="0" collapsed="false">
      <c r="A461" s="3" t="s">
        <v>412</v>
      </c>
      <c r="B461" s="3" t="s">
        <v>147</v>
      </c>
      <c r="C461" s="3" t="s">
        <v>118</v>
      </c>
      <c r="D461" s="3" t="s">
        <v>396</v>
      </c>
      <c r="E461" s="3" t="s">
        <v>403</v>
      </c>
      <c r="F461" s="3" t="n">
        <v>192</v>
      </c>
      <c r="G461" s="3" t="n">
        <v>28</v>
      </c>
      <c r="H461" s="3" t="n">
        <v>175</v>
      </c>
      <c r="I461" s="3" t="n">
        <v>18.54</v>
      </c>
      <c r="J461" s="3" t="n">
        <v>29.03</v>
      </c>
      <c r="K461" s="3" t="n">
        <v>0</v>
      </c>
      <c r="L461" s="3" t="s">
        <v>408</v>
      </c>
      <c r="M461" s="3" t="n">
        <v>0</v>
      </c>
      <c r="N461" s="3" t="n">
        <v>25.22</v>
      </c>
      <c r="O461" s="3" t="s">
        <v>400</v>
      </c>
    </row>
    <row r="462" customFormat="false" ht="15" hidden="false" customHeight="false" outlineLevel="0" collapsed="false">
      <c r="A462" s="3" t="s">
        <v>412</v>
      </c>
      <c r="B462" s="3" t="s">
        <v>147</v>
      </c>
      <c r="C462" s="3" t="s">
        <v>120</v>
      </c>
      <c r="D462" s="3" t="s">
        <v>392</v>
      </c>
      <c r="E462" s="3" t="s">
        <v>397</v>
      </c>
      <c r="F462" s="3" t="n">
        <v>168</v>
      </c>
      <c r="G462" s="3" t="n">
        <v>38</v>
      </c>
      <c r="H462" s="3" t="n">
        <v>74</v>
      </c>
      <c r="I462" s="3" t="n">
        <v>41.71</v>
      </c>
      <c r="J462" s="3" t="n">
        <v>97.97</v>
      </c>
      <c r="K462" s="3" t="n">
        <v>15</v>
      </c>
      <c r="L462" s="3" t="s">
        <v>401</v>
      </c>
      <c r="M462" s="3" t="n">
        <v>0</v>
      </c>
      <c r="N462" s="3" t="n">
        <v>102.22</v>
      </c>
      <c r="O462" s="3" t="s">
        <v>407</v>
      </c>
    </row>
    <row r="463" customFormat="false" ht="15" hidden="false" customHeight="false" outlineLevel="0" collapsed="false">
      <c r="A463" s="3" t="s">
        <v>412</v>
      </c>
      <c r="B463" s="3" t="s">
        <v>147</v>
      </c>
      <c r="C463" s="3" t="s">
        <v>122</v>
      </c>
      <c r="D463" s="3" t="s">
        <v>396</v>
      </c>
      <c r="E463" s="3" t="s">
        <v>399</v>
      </c>
      <c r="F463" s="3" t="n">
        <v>308</v>
      </c>
      <c r="G463" s="3" t="n">
        <v>149</v>
      </c>
      <c r="H463" s="3" t="n">
        <v>35</v>
      </c>
      <c r="I463" s="3" t="n">
        <v>167.46</v>
      </c>
      <c r="J463" s="3" t="n">
        <v>31.18</v>
      </c>
      <c r="K463" s="3" t="n">
        <v>0</v>
      </c>
      <c r="L463" s="3" t="s">
        <v>398</v>
      </c>
      <c r="M463" s="3" t="n">
        <v>1</v>
      </c>
      <c r="N463" s="3" t="n">
        <v>34.2</v>
      </c>
      <c r="O463" s="3" t="s">
        <v>404</v>
      </c>
    </row>
    <row r="464" customFormat="false" ht="15" hidden="false" customHeight="false" outlineLevel="0" collapsed="false">
      <c r="A464" s="3" t="s">
        <v>412</v>
      </c>
      <c r="B464" s="3" t="s">
        <v>147</v>
      </c>
      <c r="C464" s="3" t="s">
        <v>124</v>
      </c>
      <c r="D464" s="3" t="s">
        <v>392</v>
      </c>
      <c r="E464" s="3" t="s">
        <v>393</v>
      </c>
      <c r="F464" s="3" t="n">
        <v>286</v>
      </c>
      <c r="G464" s="3" t="n">
        <v>192</v>
      </c>
      <c r="H464" s="3" t="n">
        <v>70</v>
      </c>
      <c r="I464" s="3" t="n">
        <v>205.67</v>
      </c>
      <c r="J464" s="3" t="n">
        <v>65.34</v>
      </c>
      <c r="K464" s="3" t="n">
        <v>10</v>
      </c>
      <c r="L464" s="3" t="s">
        <v>394</v>
      </c>
      <c r="M464" s="3" t="n">
        <v>0</v>
      </c>
      <c r="N464" s="3" t="n">
        <v>63.05</v>
      </c>
      <c r="O464" s="3" t="s">
        <v>395</v>
      </c>
    </row>
    <row r="465" customFormat="false" ht="15" hidden="false" customHeight="false" outlineLevel="0" collapsed="false">
      <c r="A465" s="3" t="s">
        <v>412</v>
      </c>
      <c r="B465" s="3" t="s">
        <v>168</v>
      </c>
      <c r="C465" s="3" t="s">
        <v>86</v>
      </c>
      <c r="D465" s="3" t="s">
        <v>396</v>
      </c>
      <c r="E465" s="3" t="s">
        <v>393</v>
      </c>
      <c r="F465" s="3" t="n">
        <v>201</v>
      </c>
      <c r="G465" s="3" t="n">
        <v>198</v>
      </c>
      <c r="H465" s="3" t="n">
        <v>103</v>
      </c>
      <c r="I465" s="3" t="n">
        <v>212.56</v>
      </c>
      <c r="J465" s="3" t="n">
        <v>57.58</v>
      </c>
      <c r="K465" s="3" t="n">
        <v>10</v>
      </c>
      <c r="L465" s="3" t="s">
        <v>401</v>
      </c>
      <c r="M465" s="3" t="n">
        <v>0</v>
      </c>
      <c r="N465" s="3" t="n">
        <v>58.98</v>
      </c>
      <c r="O465" s="3" t="s">
        <v>400</v>
      </c>
    </row>
    <row r="466" customFormat="false" ht="15" hidden="false" customHeight="false" outlineLevel="0" collapsed="false">
      <c r="A466" s="3" t="s">
        <v>412</v>
      </c>
      <c r="B466" s="3" t="s">
        <v>168</v>
      </c>
      <c r="C466" s="3" t="s">
        <v>88</v>
      </c>
      <c r="D466" s="3" t="s">
        <v>402</v>
      </c>
      <c r="E466" s="3" t="s">
        <v>393</v>
      </c>
      <c r="F466" s="3" t="n">
        <v>135</v>
      </c>
      <c r="G466" s="3" t="n">
        <v>83</v>
      </c>
      <c r="H466" s="3" t="n">
        <v>49</v>
      </c>
      <c r="I466" s="3" t="n">
        <v>88.88</v>
      </c>
      <c r="J466" s="3" t="n">
        <v>54.02</v>
      </c>
      <c r="K466" s="3" t="n">
        <v>20</v>
      </c>
      <c r="L466" s="3" t="s">
        <v>394</v>
      </c>
      <c r="M466" s="3" t="n">
        <v>0</v>
      </c>
      <c r="N466" s="3" t="n">
        <v>58.22</v>
      </c>
      <c r="O466" s="3" t="s">
        <v>404</v>
      </c>
    </row>
    <row r="467" customFormat="false" ht="15" hidden="false" customHeight="false" outlineLevel="0" collapsed="false">
      <c r="A467" s="3" t="s">
        <v>412</v>
      </c>
      <c r="B467" s="3" t="s">
        <v>168</v>
      </c>
      <c r="C467" s="3" t="s">
        <v>90</v>
      </c>
      <c r="D467" s="3" t="s">
        <v>405</v>
      </c>
      <c r="E467" s="3" t="s">
        <v>393</v>
      </c>
      <c r="F467" s="3" t="n">
        <v>258</v>
      </c>
      <c r="G467" s="3" t="n">
        <v>97</v>
      </c>
      <c r="H467" s="3" t="n">
        <v>172</v>
      </c>
      <c r="I467" s="3" t="n">
        <v>102.13</v>
      </c>
      <c r="J467" s="3" t="n">
        <v>69.96</v>
      </c>
      <c r="K467" s="3" t="n">
        <v>10</v>
      </c>
      <c r="L467" s="3" t="s">
        <v>408</v>
      </c>
      <c r="M467" s="3" t="n">
        <v>1</v>
      </c>
      <c r="N467" s="3" t="n">
        <v>70.94</v>
      </c>
      <c r="O467" s="3" t="s">
        <v>395</v>
      </c>
    </row>
    <row r="468" customFormat="false" ht="15" hidden="false" customHeight="false" outlineLevel="0" collapsed="false">
      <c r="A468" s="3" t="s">
        <v>412</v>
      </c>
      <c r="B468" s="3" t="s">
        <v>168</v>
      </c>
      <c r="C468" s="3" t="s">
        <v>92</v>
      </c>
      <c r="D468" s="3" t="s">
        <v>396</v>
      </c>
      <c r="E468" s="3" t="s">
        <v>393</v>
      </c>
      <c r="F468" s="3" t="n">
        <v>357</v>
      </c>
      <c r="G468" s="3" t="n">
        <v>173</v>
      </c>
      <c r="H468" s="3" t="n">
        <v>97</v>
      </c>
      <c r="I468" s="3" t="n">
        <v>190.9</v>
      </c>
      <c r="J468" s="3" t="n">
        <v>51.07</v>
      </c>
      <c r="K468" s="3" t="n">
        <v>5</v>
      </c>
      <c r="L468" s="3" t="s">
        <v>398</v>
      </c>
      <c r="M468" s="3" t="n">
        <v>1</v>
      </c>
      <c r="N468" s="3" t="n">
        <v>50.35</v>
      </c>
      <c r="O468" s="3" t="s">
        <v>407</v>
      </c>
    </row>
    <row r="469" customFormat="false" ht="15" hidden="false" customHeight="false" outlineLevel="0" collapsed="false">
      <c r="A469" s="3" t="s">
        <v>412</v>
      </c>
      <c r="B469" s="3" t="s">
        <v>168</v>
      </c>
      <c r="C469" s="3" t="s">
        <v>94</v>
      </c>
      <c r="D469" s="3" t="s">
        <v>402</v>
      </c>
      <c r="E469" s="3" t="s">
        <v>403</v>
      </c>
      <c r="F469" s="3" t="n">
        <v>387</v>
      </c>
      <c r="G469" s="3" t="n">
        <v>69</v>
      </c>
      <c r="H469" s="3" t="n">
        <v>199</v>
      </c>
      <c r="I469" s="3" t="n">
        <v>87.46</v>
      </c>
      <c r="J469" s="3" t="n">
        <v>99.12</v>
      </c>
      <c r="K469" s="3" t="n">
        <v>20</v>
      </c>
      <c r="L469" s="3" t="s">
        <v>394</v>
      </c>
      <c r="M469" s="3" t="n">
        <v>1</v>
      </c>
      <c r="N469" s="3" t="n">
        <v>95.19</v>
      </c>
      <c r="O469" s="3" t="s">
        <v>395</v>
      </c>
    </row>
    <row r="470" customFormat="false" ht="15" hidden="false" customHeight="false" outlineLevel="0" collapsed="false">
      <c r="A470" s="3" t="s">
        <v>412</v>
      </c>
      <c r="B470" s="3" t="s">
        <v>168</v>
      </c>
      <c r="C470" s="3" t="s">
        <v>96</v>
      </c>
      <c r="D470" s="3" t="s">
        <v>405</v>
      </c>
      <c r="E470" s="3" t="s">
        <v>403</v>
      </c>
      <c r="F470" s="3" t="n">
        <v>378</v>
      </c>
      <c r="G470" s="3" t="n">
        <v>256</v>
      </c>
      <c r="H470" s="3" t="n">
        <v>169</v>
      </c>
      <c r="I470" s="3" t="n">
        <v>271.82</v>
      </c>
      <c r="J470" s="3" t="n">
        <v>77.59</v>
      </c>
      <c r="K470" s="3" t="n">
        <v>15</v>
      </c>
      <c r="L470" s="3" t="s">
        <v>398</v>
      </c>
      <c r="M470" s="3" t="n">
        <v>0</v>
      </c>
      <c r="N470" s="3" t="n">
        <v>79.28</v>
      </c>
      <c r="O470" s="3" t="s">
        <v>395</v>
      </c>
    </row>
    <row r="471" customFormat="false" ht="15" hidden="false" customHeight="false" outlineLevel="0" collapsed="false">
      <c r="A471" s="3" t="s">
        <v>412</v>
      </c>
      <c r="B471" s="3" t="s">
        <v>168</v>
      </c>
      <c r="C471" s="3" t="s">
        <v>98</v>
      </c>
      <c r="D471" s="3" t="s">
        <v>402</v>
      </c>
      <c r="E471" s="3" t="s">
        <v>393</v>
      </c>
      <c r="F471" s="3" t="n">
        <v>249</v>
      </c>
      <c r="G471" s="3" t="n">
        <v>246</v>
      </c>
      <c r="H471" s="3" t="n">
        <v>124</v>
      </c>
      <c r="I471" s="3" t="n">
        <v>246.58</v>
      </c>
      <c r="J471" s="3" t="n">
        <v>87.6</v>
      </c>
      <c r="K471" s="3" t="n">
        <v>10</v>
      </c>
      <c r="L471" s="3" t="s">
        <v>408</v>
      </c>
      <c r="M471" s="3" t="n">
        <v>0</v>
      </c>
      <c r="N471" s="3" t="n">
        <v>92.28</v>
      </c>
      <c r="O471" s="3" t="s">
        <v>400</v>
      </c>
    </row>
    <row r="472" customFormat="false" ht="15" hidden="false" customHeight="false" outlineLevel="0" collapsed="false">
      <c r="A472" s="3" t="s">
        <v>412</v>
      </c>
      <c r="B472" s="3" t="s">
        <v>168</v>
      </c>
      <c r="C472" s="3" t="s">
        <v>100</v>
      </c>
      <c r="D472" s="3" t="s">
        <v>406</v>
      </c>
      <c r="E472" s="3" t="s">
        <v>397</v>
      </c>
      <c r="F472" s="3" t="n">
        <v>448</v>
      </c>
      <c r="G472" s="3" t="n">
        <v>332</v>
      </c>
      <c r="H472" s="3" t="n">
        <v>184</v>
      </c>
      <c r="I472" s="3" t="n">
        <v>343.03</v>
      </c>
      <c r="J472" s="3" t="n">
        <v>43.67</v>
      </c>
      <c r="K472" s="3" t="n">
        <v>15</v>
      </c>
      <c r="L472" s="3" t="s">
        <v>401</v>
      </c>
      <c r="M472" s="3" t="n">
        <v>1</v>
      </c>
      <c r="N472" s="3" t="n">
        <v>40.57</v>
      </c>
      <c r="O472" s="3" t="s">
        <v>400</v>
      </c>
    </row>
    <row r="473" customFormat="false" ht="15" hidden="false" customHeight="false" outlineLevel="0" collapsed="false">
      <c r="A473" s="3" t="s">
        <v>412</v>
      </c>
      <c r="B473" s="3" t="s">
        <v>168</v>
      </c>
      <c r="C473" s="3" t="s">
        <v>102</v>
      </c>
      <c r="D473" s="3" t="s">
        <v>396</v>
      </c>
      <c r="E473" s="3" t="s">
        <v>393</v>
      </c>
      <c r="F473" s="3" t="n">
        <v>348</v>
      </c>
      <c r="G473" s="3" t="n">
        <v>325</v>
      </c>
      <c r="H473" s="3" t="n">
        <v>97</v>
      </c>
      <c r="I473" s="3" t="n">
        <v>321.15</v>
      </c>
      <c r="J473" s="3" t="n">
        <v>89.52</v>
      </c>
      <c r="K473" s="3" t="n">
        <v>0</v>
      </c>
      <c r="L473" s="3" t="s">
        <v>394</v>
      </c>
      <c r="M473" s="3" t="n">
        <v>0</v>
      </c>
      <c r="N473" s="3" t="n">
        <v>87.3</v>
      </c>
      <c r="O473" s="3" t="s">
        <v>400</v>
      </c>
    </row>
    <row r="474" customFormat="false" ht="15" hidden="false" customHeight="false" outlineLevel="0" collapsed="false">
      <c r="A474" s="3" t="s">
        <v>412</v>
      </c>
      <c r="B474" s="3" t="s">
        <v>168</v>
      </c>
      <c r="C474" s="3" t="s">
        <v>104</v>
      </c>
      <c r="D474" s="3" t="s">
        <v>392</v>
      </c>
      <c r="E474" s="3" t="s">
        <v>403</v>
      </c>
      <c r="F474" s="3" t="n">
        <v>412</v>
      </c>
      <c r="G474" s="3" t="n">
        <v>53</v>
      </c>
      <c r="H474" s="3" t="n">
        <v>75</v>
      </c>
      <c r="I474" s="3" t="n">
        <v>72.67</v>
      </c>
      <c r="J474" s="3" t="n">
        <v>12.89</v>
      </c>
      <c r="K474" s="3" t="n">
        <v>0</v>
      </c>
      <c r="L474" s="3" t="s">
        <v>408</v>
      </c>
      <c r="M474" s="3" t="n">
        <v>1</v>
      </c>
      <c r="N474" s="3" t="n">
        <v>13.92</v>
      </c>
      <c r="O474" s="3" t="s">
        <v>395</v>
      </c>
    </row>
    <row r="475" customFormat="false" ht="15" hidden="false" customHeight="false" outlineLevel="0" collapsed="false">
      <c r="A475" s="3" t="s">
        <v>412</v>
      </c>
      <c r="B475" s="3" t="s">
        <v>168</v>
      </c>
      <c r="C475" s="3" t="s">
        <v>106</v>
      </c>
      <c r="D475" s="3" t="s">
        <v>392</v>
      </c>
      <c r="E475" s="3" t="s">
        <v>399</v>
      </c>
      <c r="F475" s="3" t="n">
        <v>344</v>
      </c>
      <c r="G475" s="3" t="n">
        <v>17</v>
      </c>
      <c r="H475" s="3" t="n">
        <v>30</v>
      </c>
      <c r="I475" s="3" t="n">
        <v>26.69</v>
      </c>
      <c r="J475" s="3" t="n">
        <v>92.7</v>
      </c>
      <c r="K475" s="3" t="n">
        <v>5</v>
      </c>
      <c r="L475" s="3" t="s">
        <v>398</v>
      </c>
      <c r="M475" s="3" t="n">
        <v>0</v>
      </c>
      <c r="N475" s="3" t="n">
        <v>97.29</v>
      </c>
      <c r="O475" s="3" t="s">
        <v>395</v>
      </c>
    </row>
    <row r="476" customFormat="false" ht="15" hidden="false" customHeight="false" outlineLevel="0" collapsed="false">
      <c r="A476" s="3" t="s">
        <v>412</v>
      </c>
      <c r="B476" s="3" t="s">
        <v>168</v>
      </c>
      <c r="C476" s="3" t="s">
        <v>108</v>
      </c>
      <c r="D476" s="3" t="s">
        <v>396</v>
      </c>
      <c r="E476" s="3" t="s">
        <v>399</v>
      </c>
      <c r="F476" s="3" t="n">
        <v>475</v>
      </c>
      <c r="G476" s="3" t="n">
        <v>223</v>
      </c>
      <c r="H476" s="3" t="n">
        <v>172</v>
      </c>
      <c r="I476" s="3" t="n">
        <v>241.25</v>
      </c>
      <c r="J476" s="3" t="n">
        <v>31.47</v>
      </c>
      <c r="K476" s="3" t="n">
        <v>20</v>
      </c>
      <c r="L476" s="3" t="s">
        <v>408</v>
      </c>
      <c r="M476" s="3" t="n">
        <v>0</v>
      </c>
      <c r="N476" s="3" t="n">
        <v>29.24</v>
      </c>
      <c r="O476" s="3" t="s">
        <v>407</v>
      </c>
    </row>
    <row r="477" customFormat="false" ht="15" hidden="false" customHeight="false" outlineLevel="0" collapsed="false">
      <c r="A477" s="3" t="s">
        <v>412</v>
      </c>
      <c r="B477" s="3" t="s">
        <v>168</v>
      </c>
      <c r="C477" s="3" t="s">
        <v>110</v>
      </c>
      <c r="D477" s="3" t="s">
        <v>402</v>
      </c>
      <c r="E477" s="3" t="s">
        <v>399</v>
      </c>
      <c r="F477" s="3" t="n">
        <v>400</v>
      </c>
      <c r="G477" s="3" t="n">
        <v>95</v>
      </c>
      <c r="H477" s="3" t="n">
        <v>86</v>
      </c>
      <c r="I477" s="3" t="n">
        <v>113.09</v>
      </c>
      <c r="J477" s="3" t="n">
        <v>89.52</v>
      </c>
      <c r="K477" s="3" t="n">
        <v>0</v>
      </c>
      <c r="L477" s="3" t="s">
        <v>401</v>
      </c>
      <c r="M477" s="3" t="n">
        <v>0</v>
      </c>
      <c r="N477" s="3" t="n">
        <v>91.76</v>
      </c>
      <c r="O477" s="3" t="s">
        <v>395</v>
      </c>
    </row>
    <row r="478" customFormat="false" ht="15" hidden="false" customHeight="false" outlineLevel="0" collapsed="false">
      <c r="A478" s="3" t="s">
        <v>412</v>
      </c>
      <c r="B478" s="3" t="s">
        <v>168</v>
      </c>
      <c r="C478" s="3" t="s">
        <v>112</v>
      </c>
      <c r="D478" s="3" t="s">
        <v>396</v>
      </c>
      <c r="E478" s="3" t="s">
        <v>393</v>
      </c>
      <c r="F478" s="3" t="n">
        <v>424</v>
      </c>
      <c r="G478" s="3" t="n">
        <v>225</v>
      </c>
      <c r="H478" s="3" t="n">
        <v>37</v>
      </c>
      <c r="I478" s="3" t="n">
        <v>220.89</v>
      </c>
      <c r="J478" s="3" t="n">
        <v>54.44</v>
      </c>
      <c r="K478" s="3" t="n">
        <v>20</v>
      </c>
      <c r="L478" s="3" t="s">
        <v>398</v>
      </c>
      <c r="M478" s="3" t="n">
        <v>0</v>
      </c>
      <c r="N478" s="3" t="n">
        <v>57.58</v>
      </c>
      <c r="O478" s="3" t="s">
        <v>404</v>
      </c>
    </row>
    <row r="479" customFormat="false" ht="15" hidden="false" customHeight="false" outlineLevel="0" collapsed="false">
      <c r="A479" s="3" t="s">
        <v>412</v>
      </c>
      <c r="B479" s="3" t="s">
        <v>168</v>
      </c>
      <c r="C479" s="3" t="s">
        <v>114</v>
      </c>
      <c r="D479" s="3" t="s">
        <v>392</v>
      </c>
      <c r="E479" s="3" t="s">
        <v>403</v>
      </c>
      <c r="F479" s="3" t="n">
        <v>441</v>
      </c>
      <c r="G479" s="3" t="n">
        <v>216</v>
      </c>
      <c r="H479" s="3" t="n">
        <v>118</v>
      </c>
      <c r="I479" s="3" t="n">
        <v>207.56</v>
      </c>
      <c r="J479" s="3" t="n">
        <v>21.75</v>
      </c>
      <c r="K479" s="3" t="n">
        <v>15</v>
      </c>
      <c r="L479" s="3" t="s">
        <v>398</v>
      </c>
      <c r="M479" s="3" t="n">
        <v>0</v>
      </c>
      <c r="N479" s="3" t="n">
        <v>21.05</v>
      </c>
      <c r="O479" s="3" t="s">
        <v>404</v>
      </c>
    </row>
    <row r="480" customFormat="false" ht="15" hidden="false" customHeight="false" outlineLevel="0" collapsed="false">
      <c r="A480" s="3" t="s">
        <v>412</v>
      </c>
      <c r="B480" s="3" t="s">
        <v>168</v>
      </c>
      <c r="C480" s="3" t="s">
        <v>116</v>
      </c>
      <c r="D480" s="3" t="s">
        <v>402</v>
      </c>
      <c r="E480" s="3" t="s">
        <v>393</v>
      </c>
      <c r="F480" s="3" t="n">
        <v>421</v>
      </c>
      <c r="G480" s="3" t="n">
        <v>324</v>
      </c>
      <c r="H480" s="3" t="n">
        <v>27</v>
      </c>
      <c r="I480" s="3" t="n">
        <v>318.43</v>
      </c>
      <c r="J480" s="3" t="n">
        <v>60.8</v>
      </c>
      <c r="K480" s="3" t="n">
        <v>0</v>
      </c>
      <c r="L480" s="3" t="s">
        <v>394</v>
      </c>
      <c r="M480" s="3" t="n">
        <v>1</v>
      </c>
      <c r="N480" s="3" t="n">
        <v>58.01</v>
      </c>
      <c r="O480" s="3" t="s">
        <v>407</v>
      </c>
    </row>
    <row r="481" customFormat="false" ht="15" hidden="false" customHeight="false" outlineLevel="0" collapsed="false">
      <c r="A481" s="3" t="s">
        <v>412</v>
      </c>
      <c r="B481" s="3" t="s">
        <v>168</v>
      </c>
      <c r="C481" s="3" t="s">
        <v>118</v>
      </c>
      <c r="D481" s="3" t="s">
        <v>396</v>
      </c>
      <c r="E481" s="3" t="s">
        <v>397</v>
      </c>
      <c r="F481" s="3" t="n">
        <v>278</v>
      </c>
      <c r="G481" s="3" t="n">
        <v>75</v>
      </c>
      <c r="H481" s="3" t="n">
        <v>56</v>
      </c>
      <c r="I481" s="3" t="n">
        <v>90.62</v>
      </c>
      <c r="J481" s="3" t="n">
        <v>60.17</v>
      </c>
      <c r="K481" s="3" t="n">
        <v>5</v>
      </c>
      <c r="L481" s="3" t="s">
        <v>398</v>
      </c>
      <c r="M481" s="3" t="n">
        <v>0</v>
      </c>
      <c r="N481" s="3" t="n">
        <v>55.33</v>
      </c>
      <c r="O481" s="3" t="s">
        <v>400</v>
      </c>
    </row>
    <row r="482" customFormat="false" ht="15" hidden="false" customHeight="false" outlineLevel="0" collapsed="false">
      <c r="A482" s="3" t="s">
        <v>412</v>
      </c>
      <c r="B482" s="3" t="s">
        <v>168</v>
      </c>
      <c r="C482" s="3" t="s">
        <v>120</v>
      </c>
      <c r="D482" s="3" t="s">
        <v>402</v>
      </c>
      <c r="E482" s="3" t="s">
        <v>399</v>
      </c>
      <c r="F482" s="3" t="n">
        <v>319</v>
      </c>
      <c r="G482" s="3" t="n">
        <v>158</v>
      </c>
      <c r="H482" s="3" t="n">
        <v>176</v>
      </c>
      <c r="I482" s="3" t="n">
        <v>170.15</v>
      </c>
      <c r="J482" s="3" t="n">
        <v>19.17</v>
      </c>
      <c r="K482" s="3" t="n">
        <v>15</v>
      </c>
      <c r="L482" s="3" t="s">
        <v>394</v>
      </c>
      <c r="M482" s="3" t="n">
        <v>1</v>
      </c>
      <c r="N482" s="3" t="n">
        <v>20.52</v>
      </c>
      <c r="O482" s="3" t="s">
        <v>404</v>
      </c>
    </row>
    <row r="483" customFormat="false" ht="15" hidden="false" customHeight="false" outlineLevel="0" collapsed="false">
      <c r="A483" s="3" t="s">
        <v>412</v>
      </c>
      <c r="B483" s="3" t="s">
        <v>168</v>
      </c>
      <c r="C483" s="3" t="s">
        <v>122</v>
      </c>
      <c r="D483" s="3" t="s">
        <v>402</v>
      </c>
      <c r="E483" s="3" t="s">
        <v>399</v>
      </c>
      <c r="F483" s="3" t="n">
        <v>353</v>
      </c>
      <c r="G483" s="3" t="n">
        <v>55</v>
      </c>
      <c r="H483" s="3" t="n">
        <v>35</v>
      </c>
      <c r="I483" s="3" t="n">
        <v>56.6</v>
      </c>
      <c r="J483" s="3" t="n">
        <v>45.92</v>
      </c>
      <c r="K483" s="3" t="n">
        <v>20</v>
      </c>
      <c r="L483" s="3" t="s">
        <v>408</v>
      </c>
      <c r="M483" s="3" t="n">
        <v>0</v>
      </c>
      <c r="N483" s="3" t="n">
        <v>46.95</v>
      </c>
      <c r="O483" s="3" t="s">
        <v>404</v>
      </c>
    </row>
    <row r="484" customFormat="false" ht="15" hidden="false" customHeight="false" outlineLevel="0" collapsed="false">
      <c r="A484" s="3" t="s">
        <v>412</v>
      </c>
      <c r="B484" s="3" t="s">
        <v>168</v>
      </c>
      <c r="C484" s="3" t="s">
        <v>124</v>
      </c>
      <c r="D484" s="3" t="s">
        <v>396</v>
      </c>
      <c r="E484" s="3" t="s">
        <v>397</v>
      </c>
      <c r="F484" s="3" t="n">
        <v>149</v>
      </c>
      <c r="G484" s="3" t="n">
        <v>131</v>
      </c>
      <c r="H484" s="3" t="n">
        <v>42</v>
      </c>
      <c r="I484" s="3" t="n">
        <v>147.54</v>
      </c>
      <c r="J484" s="3" t="n">
        <v>23.85</v>
      </c>
      <c r="K484" s="3" t="n">
        <v>5</v>
      </c>
      <c r="L484" s="3" t="s">
        <v>401</v>
      </c>
      <c r="M484" s="3" t="n">
        <v>0</v>
      </c>
      <c r="N484" s="3" t="n">
        <v>19.43</v>
      </c>
      <c r="O484" s="3" t="s">
        <v>395</v>
      </c>
    </row>
    <row r="485" customFormat="false" ht="15" hidden="false" customHeight="false" outlineLevel="0" collapsed="false">
      <c r="A485" s="3" t="s">
        <v>412</v>
      </c>
      <c r="B485" s="3" t="s">
        <v>189</v>
      </c>
      <c r="C485" s="3" t="s">
        <v>86</v>
      </c>
      <c r="D485" s="3" t="s">
        <v>396</v>
      </c>
      <c r="E485" s="3" t="s">
        <v>397</v>
      </c>
      <c r="F485" s="3" t="n">
        <v>371</v>
      </c>
      <c r="G485" s="3" t="n">
        <v>74</v>
      </c>
      <c r="H485" s="3" t="n">
        <v>115</v>
      </c>
      <c r="I485" s="3" t="n">
        <v>93.27</v>
      </c>
      <c r="J485" s="3" t="n">
        <v>40.47</v>
      </c>
      <c r="K485" s="3" t="n">
        <v>20</v>
      </c>
      <c r="L485" s="3" t="s">
        <v>401</v>
      </c>
      <c r="M485" s="3" t="n">
        <v>0</v>
      </c>
      <c r="N485" s="3" t="n">
        <v>40.3</v>
      </c>
      <c r="O485" s="3" t="s">
        <v>407</v>
      </c>
    </row>
    <row r="486" customFormat="false" ht="15" hidden="false" customHeight="false" outlineLevel="0" collapsed="false">
      <c r="A486" s="3" t="s">
        <v>412</v>
      </c>
      <c r="B486" s="3" t="s">
        <v>189</v>
      </c>
      <c r="C486" s="3" t="s">
        <v>88</v>
      </c>
      <c r="D486" s="3" t="s">
        <v>396</v>
      </c>
      <c r="E486" s="3" t="s">
        <v>399</v>
      </c>
      <c r="F486" s="3" t="n">
        <v>98</v>
      </c>
      <c r="G486" s="3" t="n">
        <v>59</v>
      </c>
      <c r="H486" s="3" t="n">
        <v>94</v>
      </c>
      <c r="I486" s="3" t="n">
        <v>62.06</v>
      </c>
      <c r="J486" s="3" t="n">
        <v>26.25</v>
      </c>
      <c r="K486" s="3" t="n">
        <v>15</v>
      </c>
      <c r="L486" s="3" t="s">
        <v>408</v>
      </c>
      <c r="M486" s="3" t="n">
        <v>1</v>
      </c>
      <c r="N486" s="3" t="n">
        <v>28.27</v>
      </c>
      <c r="O486" s="3" t="s">
        <v>395</v>
      </c>
    </row>
    <row r="487" customFormat="false" ht="15" hidden="false" customHeight="false" outlineLevel="0" collapsed="false">
      <c r="A487" s="3" t="s">
        <v>412</v>
      </c>
      <c r="B487" s="3" t="s">
        <v>189</v>
      </c>
      <c r="C487" s="3" t="s">
        <v>90</v>
      </c>
      <c r="D487" s="3" t="s">
        <v>402</v>
      </c>
      <c r="E487" s="3" t="s">
        <v>397</v>
      </c>
      <c r="F487" s="3" t="n">
        <v>318</v>
      </c>
      <c r="G487" s="3" t="n">
        <v>150</v>
      </c>
      <c r="H487" s="3" t="n">
        <v>171</v>
      </c>
      <c r="I487" s="3" t="n">
        <v>145.3</v>
      </c>
      <c r="J487" s="3" t="n">
        <v>82.08</v>
      </c>
      <c r="K487" s="3" t="n">
        <v>5</v>
      </c>
      <c r="L487" s="3" t="s">
        <v>394</v>
      </c>
      <c r="M487" s="3" t="n">
        <v>0</v>
      </c>
      <c r="N487" s="3" t="n">
        <v>82.7</v>
      </c>
      <c r="O487" s="3" t="s">
        <v>407</v>
      </c>
    </row>
    <row r="488" customFormat="false" ht="15" hidden="false" customHeight="false" outlineLevel="0" collapsed="false">
      <c r="A488" s="3" t="s">
        <v>412</v>
      </c>
      <c r="B488" s="3" t="s">
        <v>189</v>
      </c>
      <c r="C488" s="3" t="s">
        <v>92</v>
      </c>
      <c r="D488" s="3" t="s">
        <v>392</v>
      </c>
      <c r="E488" s="3" t="s">
        <v>393</v>
      </c>
      <c r="F488" s="3" t="n">
        <v>200</v>
      </c>
      <c r="G488" s="3" t="n">
        <v>135</v>
      </c>
      <c r="H488" s="3" t="n">
        <v>192</v>
      </c>
      <c r="I488" s="3" t="n">
        <v>145.91</v>
      </c>
      <c r="J488" s="3" t="n">
        <v>50.59</v>
      </c>
      <c r="K488" s="3" t="n">
        <v>15</v>
      </c>
      <c r="L488" s="3" t="s">
        <v>398</v>
      </c>
      <c r="M488" s="3" t="n">
        <v>0</v>
      </c>
      <c r="N488" s="3" t="n">
        <v>54.05</v>
      </c>
      <c r="O488" s="3" t="s">
        <v>407</v>
      </c>
    </row>
    <row r="489" customFormat="false" ht="15" hidden="false" customHeight="false" outlineLevel="0" collapsed="false">
      <c r="A489" s="3" t="s">
        <v>412</v>
      </c>
      <c r="B489" s="3" t="s">
        <v>189</v>
      </c>
      <c r="C489" s="3" t="s">
        <v>94</v>
      </c>
      <c r="D489" s="3" t="s">
        <v>396</v>
      </c>
      <c r="E489" s="3" t="s">
        <v>399</v>
      </c>
      <c r="F489" s="3" t="n">
        <v>299</v>
      </c>
      <c r="G489" s="3" t="n">
        <v>79</v>
      </c>
      <c r="H489" s="3" t="n">
        <v>117</v>
      </c>
      <c r="I489" s="3" t="n">
        <v>97.08</v>
      </c>
      <c r="J489" s="3" t="n">
        <v>49.08</v>
      </c>
      <c r="K489" s="3" t="n">
        <v>5</v>
      </c>
      <c r="L489" s="3" t="s">
        <v>394</v>
      </c>
      <c r="M489" s="3" t="n">
        <v>0</v>
      </c>
      <c r="N489" s="3" t="n">
        <v>45.5</v>
      </c>
      <c r="O489" s="3" t="s">
        <v>407</v>
      </c>
    </row>
    <row r="490" customFormat="false" ht="15" hidden="false" customHeight="false" outlineLevel="0" collapsed="false">
      <c r="A490" s="3" t="s">
        <v>412</v>
      </c>
      <c r="B490" s="3" t="s">
        <v>189</v>
      </c>
      <c r="C490" s="3" t="s">
        <v>96</v>
      </c>
      <c r="D490" s="3" t="s">
        <v>392</v>
      </c>
      <c r="E490" s="3" t="s">
        <v>397</v>
      </c>
      <c r="F490" s="3" t="n">
        <v>392</v>
      </c>
      <c r="G490" s="3" t="n">
        <v>62</v>
      </c>
      <c r="H490" s="3" t="n">
        <v>125</v>
      </c>
      <c r="I490" s="3" t="n">
        <v>68.41</v>
      </c>
      <c r="J490" s="3" t="n">
        <v>12.38</v>
      </c>
      <c r="K490" s="3" t="n">
        <v>0</v>
      </c>
      <c r="L490" s="3" t="s">
        <v>394</v>
      </c>
      <c r="M490" s="3" t="n">
        <v>1</v>
      </c>
      <c r="N490" s="3" t="n">
        <v>16.24</v>
      </c>
      <c r="O490" s="3" t="s">
        <v>400</v>
      </c>
    </row>
    <row r="491" customFormat="false" ht="15" hidden="false" customHeight="false" outlineLevel="0" collapsed="false">
      <c r="A491" s="3" t="s">
        <v>412</v>
      </c>
      <c r="B491" s="3" t="s">
        <v>189</v>
      </c>
      <c r="C491" s="3" t="s">
        <v>98</v>
      </c>
      <c r="D491" s="3" t="s">
        <v>406</v>
      </c>
      <c r="E491" s="3" t="s">
        <v>403</v>
      </c>
      <c r="F491" s="3" t="n">
        <v>399</v>
      </c>
      <c r="G491" s="3" t="n">
        <v>130</v>
      </c>
      <c r="H491" s="3" t="n">
        <v>77</v>
      </c>
      <c r="I491" s="3" t="n">
        <v>123.53</v>
      </c>
      <c r="J491" s="3" t="n">
        <v>49.02</v>
      </c>
      <c r="K491" s="3" t="n">
        <v>20</v>
      </c>
      <c r="L491" s="3" t="s">
        <v>401</v>
      </c>
      <c r="M491" s="3" t="n">
        <v>0</v>
      </c>
      <c r="N491" s="3" t="n">
        <v>53.33</v>
      </c>
      <c r="O491" s="3" t="s">
        <v>395</v>
      </c>
    </row>
    <row r="492" customFormat="false" ht="15" hidden="false" customHeight="false" outlineLevel="0" collapsed="false">
      <c r="A492" s="3" t="s">
        <v>412</v>
      </c>
      <c r="B492" s="3" t="s">
        <v>189</v>
      </c>
      <c r="C492" s="3" t="s">
        <v>100</v>
      </c>
      <c r="D492" s="3" t="s">
        <v>396</v>
      </c>
      <c r="E492" s="3" t="s">
        <v>393</v>
      </c>
      <c r="F492" s="3" t="n">
        <v>192</v>
      </c>
      <c r="G492" s="3" t="n">
        <v>74</v>
      </c>
      <c r="H492" s="3" t="n">
        <v>116</v>
      </c>
      <c r="I492" s="3" t="n">
        <v>66.44</v>
      </c>
      <c r="J492" s="3" t="n">
        <v>27.8</v>
      </c>
      <c r="K492" s="3" t="n">
        <v>10</v>
      </c>
      <c r="L492" s="3" t="s">
        <v>398</v>
      </c>
      <c r="M492" s="3" t="n">
        <v>1</v>
      </c>
      <c r="N492" s="3" t="n">
        <v>31.34</v>
      </c>
      <c r="O492" s="3" t="s">
        <v>400</v>
      </c>
    </row>
    <row r="493" customFormat="false" ht="15" hidden="false" customHeight="false" outlineLevel="0" collapsed="false">
      <c r="A493" s="3" t="s">
        <v>412</v>
      </c>
      <c r="B493" s="3" t="s">
        <v>189</v>
      </c>
      <c r="C493" s="3" t="s">
        <v>102</v>
      </c>
      <c r="D493" s="3" t="s">
        <v>406</v>
      </c>
      <c r="E493" s="3" t="s">
        <v>399</v>
      </c>
      <c r="F493" s="3" t="n">
        <v>149</v>
      </c>
      <c r="G493" s="3" t="n">
        <v>16</v>
      </c>
      <c r="H493" s="3" t="n">
        <v>23</v>
      </c>
      <c r="I493" s="3" t="n">
        <v>34.95</v>
      </c>
      <c r="J493" s="3" t="n">
        <v>59.13</v>
      </c>
      <c r="K493" s="3" t="n">
        <v>10</v>
      </c>
      <c r="L493" s="3" t="s">
        <v>394</v>
      </c>
      <c r="M493" s="3" t="n">
        <v>0</v>
      </c>
      <c r="N493" s="3" t="n">
        <v>59.09</v>
      </c>
      <c r="O493" s="3" t="s">
        <v>400</v>
      </c>
    </row>
    <row r="494" customFormat="false" ht="15" hidden="false" customHeight="false" outlineLevel="0" collapsed="false">
      <c r="A494" s="3" t="s">
        <v>412</v>
      </c>
      <c r="B494" s="3" t="s">
        <v>189</v>
      </c>
      <c r="C494" s="3" t="s">
        <v>104</v>
      </c>
      <c r="D494" s="3" t="s">
        <v>405</v>
      </c>
      <c r="E494" s="3" t="s">
        <v>393</v>
      </c>
      <c r="F494" s="3" t="n">
        <v>406</v>
      </c>
      <c r="G494" s="3" t="n">
        <v>342</v>
      </c>
      <c r="H494" s="3" t="n">
        <v>195</v>
      </c>
      <c r="I494" s="3" t="n">
        <v>353.01</v>
      </c>
      <c r="J494" s="3" t="n">
        <v>43.1</v>
      </c>
      <c r="K494" s="3" t="n">
        <v>5</v>
      </c>
      <c r="L494" s="3" t="s">
        <v>401</v>
      </c>
      <c r="M494" s="3" t="n">
        <v>1</v>
      </c>
      <c r="N494" s="3" t="n">
        <v>42.19</v>
      </c>
      <c r="O494" s="3" t="s">
        <v>400</v>
      </c>
    </row>
    <row r="495" customFormat="false" ht="15" hidden="false" customHeight="false" outlineLevel="0" collapsed="false">
      <c r="A495" s="3" t="s">
        <v>412</v>
      </c>
      <c r="B495" s="3" t="s">
        <v>189</v>
      </c>
      <c r="C495" s="3" t="s">
        <v>106</v>
      </c>
      <c r="D495" s="3" t="s">
        <v>402</v>
      </c>
      <c r="E495" s="3" t="s">
        <v>397</v>
      </c>
      <c r="F495" s="3" t="n">
        <v>91</v>
      </c>
      <c r="G495" s="3" t="n">
        <v>48</v>
      </c>
      <c r="H495" s="3" t="n">
        <v>155</v>
      </c>
      <c r="I495" s="3" t="n">
        <v>51.37</v>
      </c>
      <c r="J495" s="3" t="n">
        <v>13.33</v>
      </c>
      <c r="K495" s="3" t="n">
        <v>5</v>
      </c>
      <c r="L495" s="3" t="s">
        <v>401</v>
      </c>
      <c r="M495" s="3" t="n">
        <v>0</v>
      </c>
      <c r="N495" s="3" t="n">
        <v>13.1</v>
      </c>
      <c r="O495" s="3" t="s">
        <v>395</v>
      </c>
    </row>
    <row r="496" customFormat="false" ht="15" hidden="false" customHeight="false" outlineLevel="0" collapsed="false">
      <c r="A496" s="3" t="s">
        <v>412</v>
      </c>
      <c r="B496" s="3" t="s">
        <v>189</v>
      </c>
      <c r="C496" s="3" t="s">
        <v>108</v>
      </c>
      <c r="D496" s="3" t="s">
        <v>406</v>
      </c>
      <c r="E496" s="3" t="s">
        <v>403</v>
      </c>
      <c r="F496" s="3" t="n">
        <v>228</v>
      </c>
      <c r="G496" s="3" t="n">
        <v>224</v>
      </c>
      <c r="H496" s="3" t="n">
        <v>147</v>
      </c>
      <c r="I496" s="3" t="n">
        <v>218.16</v>
      </c>
      <c r="J496" s="3" t="n">
        <v>98.66</v>
      </c>
      <c r="K496" s="3" t="n">
        <v>10</v>
      </c>
      <c r="L496" s="3" t="s">
        <v>408</v>
      </c>
      <c r="M496" s="3" t="n">
        <v>0</v>
      </c>
      <c r="N496" s="3" t="n">
        <v>103.3</v>
      </c>
      <c r="O496" s="3" t="s">
        <v>407</v>
      </c>
    </row>
    <row r="497" customFormat="false" ht="15" hidden="false" customHeight="false" outlineLevel="0" collapsed="false">
      <c r="A497" s="3" t="s">
        <v>412</v>
      </c>
      <c r="B497" s="3" t="s">
        <v>189</v>
      </c>
      <c r="C497" s="3" t="s">
        <v>110</v>
      </c>
      <c r="D497" s="3" t="s">
        <v>402</v>
      </c>
      <c r="E497" s="3" t="s">
        <v>397</v>
      </c>
      <c r="F497" s="3" t="n">
        <v>68</v>
      </c>
      <c r="G497" s="3" t="n">
        <v>64</v>
      </c>
      <c r="H497" s="3" t="n">
        <v>54</v>
      </c>
      <c r="I497" s="3" t="n">
        <v>71.81</v>
      </c>
      <c r="J497" s="3" t="n">
        <v>39.8</v>
      </c>
      <c r="K497" s="3" t="n">
        <v>15</v>
      </c>
      <c r="L497" s="3" t="s">
        <v>394</v>
      </c>
      <c r="M497" s="3" t="n">
        <v>1</v>
      </c>
      <c r="N497" s="3" t="n">
        <v>35.38</v>
      </c>
      <c r="O497" s="3" t="s">
        <v>400</v>
      </c>
    </row>
    <row r="498" customFormat="false" ht="15" hidden="false" customHeight="false" outlineLevel="0" collapsed="false">
      <c r="A498" s="3" t="s">
        <v>412</v>
      </c>
      <c r="B498" s="3" t="s">
        <v>189</v>
      </c>
      <c r="C498" s="3" t="s">
        <v>112</v>
      </c>
      <c r="D498" s="3" t="s">
        <v>396</v>
      </c>
      <c r="E498" s="3" t="s">
        <v>393</v>
      </c>
      <c r="F498" s="3" t="n">
        <v>358</v>
      </c>
      <c r="G498" s="3" t="n">
        <v>322</v>
      </c>
      <c r="H498" s="3" t="n">
        <v>36</v>
      </c>
      <c r="I498" s="3" t="n">
        <v>316.68</v>
      </c>
      <c r="J498" s="3" t="n">
        <v>86.26</v>
      </c>
      <c r="K498" s="3" t="n">
        <v>10</v>
      </c>
      <c r="L498" s="3" t="s">
        <v>394</v>
      </c>
      <c r="M498" s="3" t="n">
        <v>0</v>
      </c>
      <c r="N498" s="3" t="n">
        <v>85.97</v>
      </c>
      <c r="O498" s="3" t="s">
        <v>400</v>
      </c>
    </row>
    <row r="499" customFormat="false" ht="15" hidden="false" customHeight="false" outlineLevel="0" collapsed="false">
      <c r="A499" s="3" t="s">
        <v>412</v>
      </c>
      <c r="B499" s="3" t="s">
        <v>189</v>
      </c>
      <c r="C499" s="3" t="s">
        <v>114</v>
      </c>
      <c r="D499" s="3" t="s">
        <v>396</v>
      </c>
      <c r="E499" s="3" t="s">
        <v>397</v>
      </c>
      <c r="F499" s="3" t="n">
        <v>361</v>
      </c>
      <c r="G499" s="3" t="n">
        <v>264</v>
      </c>
      <c r="H499" s="3" t="n">
        <v>75</v>
      </c>
      <c r="I499" s="3" t="n">
        <v>258.32</v>
      </c>
      <c r="J499" s="3" t="n">
        <v>85.81</v>
      </c>
      <c r="K499" s="3" t="n">
        <v>10</v>
      </c>
      <c r="L499" s="3" t="s">
        <v>408</v>
      </c>
      <c r="M499" s="3" t="n">
        <v>1</v>
      </c>
      <c r="N499" s="3" t="n">
        <v>89.25</v>
      </c>
      <c r="O499" s="3" t="s">
        <v>400</v>
      </c>
    </row>
    <row r="500" customFormat="false" ht="15" hidden="false" customHeight="false" outlineLevel="0" collapsed="false">
      <c r="A500" s="3" t="s">
        <v>412</v>
      </c>
      <c r="B500" s="3" t="s">
        <v>189</v>
      </c>
      <c r="C500" s="3" t="s">
        <v>116</v>
      </c>
      <c r="D500" s="3" t="s">
        <v>402</v>
      </c>
      <c r="E500" s="3" t="s">
        <v>399</v>
      </c>
      <c r="F500" s="3" t="n">
        <v>371</v>
      </c>
      <c r="G500" s="3" t="n">
        <v>343</v>
      </c>
      <c r="H500" s="3" t="n">
        <v>98</v>
      </c>
      <c r="I500" s="3" t="n">
        <v>350.28</v>
      </c>
      <c r="J500" s="3" t="n">
        <v>58.21</v>
      </c>
      <c r="K500" s="3" t="n">
        <v>20</v>
      </c>
      <c r="L500" s="3" t="s">
        <v>394</v>
      </c>
      <c r="M500" s="3" t="n">
        <v>0</v>
      </c>
      <c r="N500" s="3" t="n">
        <v>57.49</v>
      </c>
      <c r="O500" s="3" t="s">
        <v>407</v>
      </c>
    </row>
    <row r="501" customFormat="false" ht="15" hidden="false" customHeight="false" outlineLevel="0" collapsed="false">
      <c r="A501" s="3" t="s">
        <v>412</v>
      </c>
      <c r="B501" s="3" t="s">
        <v>189</v>
      </c>
      <c r="C501" s="3" t="s">
        <v>118</v>
      </c>
      <c r="D501" s="3" t="s">
        <v>392</v>
      </c>
      <c r="E501" s="3" t="s">
        <v>403</v>
      </c>
      <c r="F501" s="3" t="n">
        <v>231</v>
      </c>
      <c r="G501" s="3" t="n">
        <v>15</v>
      </c>
      <c r="H501" s="3" t="n">
        <v>107</v>
      </c>
      <c r="I501" s="3" t="n">
        <v>26.67</v>
      </c>
      <c r="J501" s="3" t="n">
        <v>74.42</v>
      </c>
      <c r="K501" s="3" t="n">
        <v>5</v>
      </c>
      <c r="L501" s="3" t="s">
        <v>401</v>
      </c>
      <c r="M501" s="3" t="n">
        <v>0</v>
      </c>
      <c r="N501" s="3" t="n">
        <v>73.86</v>
      </c>
      <c r="O501" s="3" t="s">
        <v>400</v>
      </c>
    </row>
    <row r="502" customFormat="false" ht="15" hidden="false" customHeight="false" outlineLevel="0" collapsed="false">
      <c r="A502" s="3" t="s">
        <v>412</v>
      </c>
      <c r="B502" s="3" t="s">
        <v>189</v>
      </c>
      <c r="C502" s="3" t="s">
        <v>120</v>
      </c>
      <c r="D502" s="3" t="s">
        <v>396</v>
      </c>
      <c r="E502" s="3" t="s">
        <v>403</v>
      </c>
      <c r="F502" s="3" t="n">
        <v>269</v>
      </c>
      <c r="G502" s="3" t="n">
        <v>90</v>
      </c>
      <c r="H502" s="3" t="n">
        <v>109</v>
      </c>
      <c r="I502" s="3" t="n">
        <v>105.45</v>
      </c>
      <c r="J502" s="3" t="n">
        <v>53.06</v>
      </c>
      <c r="K502" s="3" t="n">
        <v>10</v>
      </c>
      <c r="L502" s="3" t="s">
        <v>398</v>
      </c>
      <c r="M502" s="3" t="n">
        <v>0</v>
      </c>
      <c r="N502" s="3" t="n">
        <v>56</v>
      </c>
      <c r="O502" s="3" t="s">
        <v>400</v>
      </c>
    </row>
    <row r="503" customFormat="false" ht="15" hidden="false" customHeight="false" outlineLevel="0" collapsed="false">
      <c r="A503" s="3" t="s">
        <v>412</v>
      </c>
      <c r="B503" s="3" t="s">
        <v>189</v>
      </c>
      <c r="C503" s="3" t="s">
        <v>122</v>
      </c>
      <c r="D503" s="3" t="s">
        <v>406</v>
      </c>
      <c r="E503" s="3" t="s">
        <v>397</v>
      </c>
      <c r="F503" s="3" t="n">
        <v>444</v>
      </c>
      <c r="G503" s="3" t="n">
        <v>143</v>
      </c>
      <c r="H503" s="3" t="n">
        <v>196</v>
      </c>
      <c r="I503" s="3" t="n">
        <v>153</v>
      </c>
      <c r="J503" s="3" t="n">
        <v>61.9</v>
      </c>
      <c r="K503" s="3" t="n">
        <v>15</v>
      </c>
      <c r="L503" s="3" t="s">
        <v>408</v>
      </c>
      <c r="M503" s="3" t="n">
        <v>0</v>
      </c>
      <c r="N503" s="3" t="n">
        <v>60.14</v>
      </c>
      <c r="O503" s="3" t="s">
        <v>395</v>
      </c>
    </row>
    <row r="504" customFormat="false" ht="15" hidden="false" customHeight="false" outlineLevel="0" collapsed="false">
      <c r="A504" s="3" t="s">
        <v>412</v>
      </c>
      <c r="B504" s="3" t="s">
        <v>189</v>
      </c>
      <c r="C504" s="3" t="s">
        <v>124</v>
      </c>
      <c r="D504" s="3" t="s">
        <v>392</v>
      </c>
      <c r="E504" s="3" t="s">
        <v>397</v>
      </c>
      <c r="F504" s="3" t="n">
        <v>243</v>
      </c>
      <c r="G504" s="3" t="n">
        <v>36</v>
      </c>
      <c r="H504" s="3" t="n">
        <v>107</v>
      </c>
      <c r="I504" s="3" t="n">
        <v>47.12</v>
      </c>
      <c r="J504" s="3" t="n">
        <v>53.65</v>
      </c>
      <c r="K504" s="3" t="n">
        <v>20</v>
      </c>
      <c r="L504" s="3" t="s">
        <v>401</v>
      </c>
      <c r="M504" s="3" t="n">
        <v>1</v>
      </c>
      <c r="N504" s="3" t="n">
        <v>49.72</v>
      </c>
      <c r="O504" s="3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2026-09-07T23:34:42Z</dcterms:created>
  <dc:creator>openpyxl</dc:creator>
  <dc:description/>
  <dc:language>en-US</dc:language>
  <cp:lastModifiedBy/>
  <dcterms:modified xsi:type="dcterms:W3CDTF">2026-09-07T23:34:42Z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